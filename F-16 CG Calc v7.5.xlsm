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activeX/activeX43.bin" ContentType="application/vnd.ms-office.activeX"/>
  <Override PartName="/xl/ctrlProps/ctrlProp49.xml" ContentType="application/vnd.ms-excel.controlproperties+xml"/>
  <Override PartName="/xl/styles.xml" ContentType="application/vnd.openxmlformats-officedocument.spreadsheetml.styles+xml"/>
  <Override PartName="/xl/activeX/activeX14.bin" ContentType="application/vnd.ms-office.activeX"/>
  <Override PartName="/xl/activeX/activeX19.xml" ContentType="application/vnd.ms-office.activeX+xml"/>
  <Override PartName="/xl/activeX/activeX32.bin" ContentType="application/vnd.ms-office.activeX"/>
  <Override PartName="/xl/activeX/activeX48.xml" ContentType="application/vnd.ms-office.activeX+xml"/>
  <Override PartName="/xl/ctrlProps/ctrlProp38.xml" ContentType="application/vnd.ms-excel.controlproperties+xml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21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vbaProject.bin" ContentType="application/vnd.ms-office.vbaProject"/>
  <Override PartName="/xl/ctrlProps/ctrlProp27.xml" ContentType="application/vnd.ms-excel.controlproperties+xml"/>
  <Override PartName="/xl/ctrlProps/ctrlProp45.xml" ContentType="application/vnd.ms-excel.controlproperties+xml"/>
  <Default Extension="xml" ContentType="application/xml"/>
  <Override PartName="/xl/activeX/activeX10.bin" ContentType="application/vnd.ms-office.activeX"/>
  <Override PartName="/xl/activeX/activeX15.xml" ContentType="application/vnd.ms-office.activeX+xml"/>
  <Override PartName="/xl/activeX/activeX26.xml" ContentType="application/vnd.ms-office.activeX+xml"/>
  <Override PartName="/xl/activeX/activeX44.xml" ContentType="application/vnd.ms-office.activeX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34.xml" ContentType="application/vnd.ms-excel.controlproperties+xml"/>
  <Override PartName="/xl/ctrlProps/ctrlProp52.xml" ContentType="application/vnd.ms-excel.controlproperties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51.xml" ContentType="application/vnd.ms-office.activeX+xml"/>
  <Override PartName="/xl/ctrlProps/ctrlProp41.xml" ContentType="application/vnd.ms-excel.controlproperties+xml"/>
  <Override PartName="/xl/ctrlProps/ctrlProp23.xml" ContentType="application/vnd.ms-excel.controlproperties+xml"/>
  <Override PartName="/xl/activeX/activeX9.bin" ContentType="application/vnd.ms-office.activeX"/>
  <Override PartName="/xl/activeX/activeX11.xml" ContentType="application/vnd.ms-office.activeX+xml"/>
  <Override PartName="/xl/activeX/activeX40.xml" ContentType="application/vnd.ms-office.activeX+xml"/>
  <Override PartName="/xl/ctrlProps/ctrlProp6.xml" ContentType="application/vnd.ms-excel.controlproperties+xml"/>
  <Override PartName="/xl/ctrlProps/ctrlProp30.xml" ContentType="application/vnd.ms-excel.controlproperties+xml"/>
  <Override PartName="/xl/ctrlProps/ctrlProp12.xml" ContentType="application/vnd.ms-excel.controlproperties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48.bin" ContentType="application/vnd.ms-office.activeX"/>
  <Override PartName="/xl/activeX/activeX5.bin" ContentType="application/vnd.ms-office.activeX"/>
  <Override PartName="/xl/activeX/activeX37.bin" ContentType="application/vnd.ms-office.activeX"/>
  <Override PartName="/xl/ctrlProps/ctrlProp2.xml" ContentType="application/vnd.ms-excel.controlproperties+xml"/>
  <Default Extension="bin" ContentType="application/vnd.openxmlformats-officedocument.spreadsheetml.printerSettings"/>
  <Override PartName="/xl/activeX/activeX15.bin" ContentType="application/vnd.ms-office.activeX"/>
  <Override PartName="/xl/activeX/activeX26.bin" ContentType="application/vnd.ms-office.activeX"/>
  <Override PartName="/xl/activeX/activeX44.bin" ContentType="application/vnd.ms-office.activeX"/>
  <Default Extension="png" ContentType="image/png"/>
  <Override PartName="/xl/activeX/activeX1.bin" ContentType="application/vnd.ms-office.activeX"/>
  <Override PartName="/xl/activeX/activeX22.bin" ContentType="application/vnd.ms-office.activeX"/>
  <Override PartName="/xl/activeX/activeX33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ctrlProps/ctrlProp28.xml" ContentType="application/vnd.ms-excel.controlproperties+xml"/>
  <Override PartName="/xl/ctrlProps/ctrlProp39.xml" ContentType="application/vnd.ms-excel.controlproperties+xml"/>
  <Override PartName="/xl/worksheets/sheet8.xml" ContentType="application/vnd.openxmlformats-officedocument.spreadsheetml.worksheet+xml"/>
  <Override PartName="/xl/activeX/activeX6.xml" ContentType="application/vnd.ms-office.activeX+xml"/>
  <Override PartName="/xl/activeX/activeX11.bin" ContentType="application/vnd.ms-office.activeX"/>
  <Override PartName="/xl/activeX/activeX27.xml" ContentType="application/vnd.ms-office.activeX+xml"/>
  <Override PartName="/xl/activeX/activeX40.bin" ContentType="application/vnd.ms-office.activeX"/>
  <Override PartName="/xl/activeX/activeX45.xml" ContentType="application/vnd.ms-office.activeX+xml"/>
  <Default Extension="emf" ContentType="image/x-emf"/>
  <Override PartName="/xl/ctrlProps/ctrlProp4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34.xml" ContentType="application/vnd.ms-office.activeX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trlProps/ctrlProp24.xml" ContentType="application/vnd.ms-excel.controlproperties+xml"/>
  <Override PartName="/xl/ctrlProps/ctrlProp53.xml" ContentType="application/vnd.ms-excel.controlproperties+xml"/>
  <Override PartName="/xl/ctrlProps/ctrlProp35.xml" ContentType="application/vnd.ms-excel.controlproperties+xml"/>
  <Override PartName="/docProps/app.xml" ContentType="application/vnd.openxmlformats-officedocument.extended-properties+xml"/>
  <Override PartName="/xl/activeX/activeX23.xml" ContentType="application/vnd.ms-office.activeX+xml"/>
  <Override PartName="/xl/activeX/activeX41.xml" ContentType="application/vnd.ms-office.activeX+xml"/>
  <Override PartName="/xl/activeX/activeX52.xml" ContentType="application/vnd.ms-office.activeX+xml"/>
  <Override PartName="/xl/ctrlProps/ctrlProp42.xml" ContentType="application/vnd.ms-excel.controlproperties+xml"/>
  <Override PartName="/xl/ctrlProps/ctrlProp7.xml" ContentType="application/vnd.ms-excel.controlproperties+xml"/>
  <Override PartName="/xl/ctrlProps/ctrlProp13.xml" ContentType="application/vnd.ms-excel.controlproperties+xml"/>
  <Default Extension="vml" ContentType="application/vnd.openxmlformats-officedocument.vmlDrawing"/>
  <Override PartName="/xl/activeX/activeX12.xml" ContentType="application/vnd.ms-office.activeX+xml"/>
  <Override PartName="/xl/activeX/activeX30.xml" ContentType="application/vnd.ms-office.activeX+xml"/>
  <Override PartName="/xl/calcChain.xml" ContentType="application/vnd.openxmlformats-officedocument.spreadsheetml.calcChain+xml"/>
  <Override PartName="/xl/ctrlProps/ctrlProp20.xml" ContentType="application/vnd.ms-excel.controlproperties+xml"/>
  <Override PartName="/xl/ctrlProps/ctrlProp31.xml" ContentType="application/vnd.ms-excel.controlproperties+xml"/>
  <Override PartName="/xl/activeX/activeX38.bin" ContentType="application/vnd.ms-office.activeX"/>
  <Override PartName="/xl/activeX/activeX49.bin" ContentType="application/vnd.ms-office.activeX"/>
  <Override PartName="/xl/ctrlProps/ctrlProp3.xml" ContentType="application/vnd.ms-excel.controlproperties+xml"/>
  <Override PartName="/xl/activeX/activeX6.bin" ContentType="application/vnd.ms-office.activeX"/>
  <Override PartName="/xl/activeX/activeX27.bin" ContentType="application/vnd.ms-office.activeX"/>
  <Override PartName="/xl/activeX/activeX45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34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ctrlProps/ctrlProp47.xml" ContentType="application/vnd.ms-excel.controlproperties+xml"/>
  <Override PartName="/xl/ctrlProps/ctrlProp29.xml" ContentType="application/vnd.ms-excel.controlproperties+xml"/>
  <Override PartName="/xl/worksheets/sheet11.xml" ContentType="application/vnd.openxmlformats-officedocument.spreadsheetml.worksheet+xml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46.xml" ContentType="application/vnd.ms-office.activeX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trlProps/ctrlProp36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ctrlProps/ctrlProp43.xml" ContentType="application/vnd.ms-excel.controlproperties+xml"/>
  <Override PartName="/xl/ctrlProps/ctrlProp25.xml" ContentType="application/vnd.ms-excel.controlproperties+xml"/>
  <Override PartName="/xl/ctrlProps/ctrlProp54.xml" ContentType="application/vnd.ms-excel.controlproperties+xml"/>
  <Override PartName="/xl/activeX/activeX13.xml" ContentType="application/vnd.ms-office.activeX+xml"/>
  <Override PartName="/xl/activeX/activeX42.xml" ContentType="application/vnd.ms-office.activeX+xml"/>
  <Override PartName="/xl/ctrlProps/ctrlProp50.xml" ContentType="application/vnd.ms-excel.controlproperties+xml"/>
  <Override PartName="/xl/ctrlProps/ctrlProp8.xml" ContentType="application/vnd.ms-excel.controlproperties+xml"/>
  <Override PartName="/xl/ctrlProps/ctrlProp14.xml" ContentType="application/vnd.ms-excel.controlproperties+xml"/>
  <Override PartName="/xl/ctrlProps/ctrlProp32.xml" ContentType="application/vnd.ms-excel.controlproperties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ctrlProps/ctrlProp21.xml" ContentType="application/vnd.ms-excel.controlproperties+xml"/>
  <Override PartName="/xl/activeX/activeX7.bin" ContentType="application/vnd.ms-office.activeX"/>
  <Override PartName="/xl/activeX/activeX39.bin" ContentType="application/vnd.ms-office.activeX"/>
  <Override PartName="/xl/ctrlProps/ctrlProp4.xml" ContentType="application/vnd.ms-excel.controlproperties+xml"/>
  <Override PartName="/xl/ctrlProps/ctrlProp10.xml" ContentType="application/vnd.ms-excel.controlproperties+xml"/>
  <Override PartName="/xl/activeX/activeX17.bin" ContentType="application/vnd.ms-office.activeX"/>
  <Override PartName="/xl/activeX/activeX28.bin" ContentType="application/vnd.ms-office.activeX"/>
  <Override PartName="/xl/activeX/activeX46.bin" ContentType="application/vnd.ms-office.activeX"/>
  <Override PartName="/xl/activeX/activeX3.bin" ContentType="application/vnd.ms-office.activeX"/>
  <Override PartName="/xl/activeX/activeX35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47.xml" ContentType="application/vnd.ms-office.activeX+xml"/>
  <Override PartName="/xl/ctrlProps/ctrlProp19.xml" ContentType="application/vnd.ms-excel.controlproperties+xml"/>
  <Override PartName="/xl/ctrlProps/ctrlProp48.xml" ContentType="application/vnd.ms-excel.controlproperties+xml"/>
  <Override PartName="/xl/worksheets/sheet6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36.xml" ContentType="application/vnd.ms-office.activeX+xml"/>
  <Override PartName="/xl/charts/chart3.xml" ContentType="application/vnd.openxmlformats-officedocument.drawingml.chart+xml"/>
  <Override PartName="/xl/ctrlProps/ctrlProp26.xml" ContentType="application/vnd.ms-excel.controlproperties+xml"/>
  <Override PartName="/xl/ctrlProps/ctrlProp37.xml" ContentType="application/vnd.ms-excel.controlproperties+xml"/>
  <Override PartName="/xl/activeX/activeX4.xml" ContentType="application/vnd.ms-office.activeX+xml"/>
  <Override PartName="/xl/activeX/activeX25.xml" ContentType="application/vnd.ms-office.activeX+xml"/>
  <Override PartName="/xl/activeX/activeX43.xml" ContentType="application/vnd.ms-office.activeX+xml"/>
  <Override PartName="/xl/ctrlProps/ctrlProp15.xml" ContentType="application/vnd.ms-excel.controlproperties+xml"/>
  <Override PartName="/xl/ctrlProps/ctrlProp44.xml" ContentType="application/vnd.ms-excel.controlproperties+xml"/>
  <Override PartName="/xl/ctrlProps/ctrlProp9.xml" ContentType="application/vnd.ms-excel.control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32.xml" ContentType="application/vnd.ms-office.activeX+xml"/>
  <Override PartName="/xl/ctrlProps/ctrlProp33.xml" ContentType="application/vnd.ms-excel.controlproperties+xml"/>
  <Override PartName="/xl/ctrlProps/ctrlProp22.xml" ContentType="application/vnd.ms-excel.controlproperties+xml"/>
  <Override PartName="/xl/ctrlProps/ctrlProp51.xml" ContentType="application/vnd.ms-excel.controlproperties+xml"/>
  <Override PartName="/xl/activeX/activeX21.xml" ContentType="application/vnd.ms-office.activeX+xml"/>
  <Override PartName="/xl/activeX/activeX50.xml" ContentType="application/vnd.ms-office.activeX+xml"/>
  <Override PartName="/xl/ctrlProps/ctrlProp11.xml" ContentType="application/vnd.ms-excel.controlproperties+xml"/>
  <Override PartName="/xl/ctrlProps/ctrlProp5.xml" ContentType="application/vnd.ms-excel.controlproperties+xml"/>
  <Override PartName="/xl/ctrlProps/ctrlProp40.xml" ContentType="application/vnd.ms-excel.controlproperties+xml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18.bin" ContentType="application/vnd.ms-office.activeX"/>
  <Override PartName="/xl/activeX/activeX36.bin" ContentType="application/vnd.ms-office.activeX"/>
  <Override PartName="/xl/activeX/activeX47.bin" ContentType="application/vnd.ms-office.activeX"/>
  <Override PartName="/xl/ctrlProps/ctrlProp1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255" yWindow="-270" windowWidth="19155" windowHeight="11790"/>
  </bookViews>
  <sheets>
    <sheet name="Configurator" sheetId="5" r:id="rId1"/>
    <sheet name="Form F" sheetId="3" r:id="rId2"/>
    <sheet name="Stores" sheetId="7" r:id="rId3"/>
    <sheet name="Tail Number" sheetId="10" r:id="rId4"/>
    <sheet name="Fuels" sheetId="11" r:id="rId5"/>
    <sheet name="Aircraft" sheetId="6" r:id="rId6"/>
    <sheet name="Constants" sheetId="9" r:id="rId7"/>
    <sheet name="Calculations" sheetId="8" r:id="rId8"/>
    <sheet name="Fuel CG" sheetId="12" r:id="rId9"/>
    <sheet name="NW Limits" sheetId="13" r:id="rId10"/>
    <sheet name="Int Fuel" sheetId="14" r:id="rId11"/>
  </sheets>
  <functionGroups/>
  <definedNames>
    <definedName name="_xlnm.Print_Area" localSheetId="0">Configurator!$A$1:$AD$38</definedName>
    <definedName name="_xlnm.Print_Area" localSheetId="1">'Form F'!$A$1:$M$73</definedName>
  </definedNames>
  <calcPr calcId="125725"/>
</workbook>
</file>

<file path=xl/calcChain.xml><?xml version="1.0" encoding="utf-8"?>
<calcChain xmlns="http://schemas.openxmlformats.org/spreadsheetml/2006/main">
  <c r="I28" i="11"/>
  <c r="I23"/>
  <c r="I18"/>
  <c r="I13"/>
  <c r="I8"/>
  <c r="I3"/>
  <c r="BP7" i="8"/>
  <c r="BQ7" s="1"/>
  <c r="BP5"/>
  <c r="BQ5" s="1"/>
  <c r="C25" i="12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AB57" i="8" l="1"/>
  <c r="AC57" s="1"/>
  <c r="AB56"/>
  <c r="AC56" s="1"/>
  <c r="AB55"/>
  <c r="AB54"/>
  <c r="AB53"/>
  <c r="AC53" s="1"/>
  <c r="AB52"/>
  <c r="AB51"/>
  <c r="AB50"/>
  <c r="AC50" s="1"/>
  <c r="AC54" l="1"/>
  <c r="AC55"/>
  <c r="AC51"/>
  <c r="AC52"/>
  <c r="AB49"/>
  <c r="AC49" s="1"/>
  <c r="AB48"/>
  <c r="AB47"/>
  <c r="AC47" s="1"/>
  <c r="AQ46"/>
  <c r="AP46"/>
  <c r="L61" i="3" s="1"/>
  <c r="AO46" i="8"/>
  <c r="K61" i="3" s="1"/>
  <c r="AB46" i="8"/>
  <c r="AB45"/>
  <c r="AB44"/>
  <c r="AB43"/>
  <c r="AB42"/>
  <c r="AC42" s="1"/>
  <c r="AB41"/>
  <c r="AB40"/>
  <c r="AC40" s="1"/>
  <c r="AC46" l="1"/>
  <c r="AC48"/>
  <c r="AC43"/>
  <c r="AC41"/>
  <c r="AC45"/>
  <c r="AC44"/>
  <c r="AB39"/>
  <c r="AC39" s="1"/>
  <c r="AB38"/>
  <c r="AB37"/>
  <c r="AB36"/>
  <c r="AB35"/>
  <c r="AB34"/>
  <c r="AB33"/>
  <c r="AC33" s="1"/>
  <c r="AB32"/>
  <c r="AC32" s="1"/>
  <c r="AC36" l="1"/>
  <c r="AC37"/>
  <c r="AC35"/>
  <c r="AC34"/>
  <c r="AC38"/>
  <c r="DB28"/>
  <c r="DC28" s="1"/>
  <c r="AF28"/>
  <c r="AE28"/>
  <c r="AD28"/>
  <c r="AC28"/>
  <c r="AX28" s="1"/>
  <c r="DB27"/>
  <c r="DC27" s="1"/>
  <c r="AF27"/>
  <c r="AE27"/>
  <c r="AD27"/>
  <c r="AC27"/>
  <c r="DB26"/>
  <c r="AF26"/>
  <c r="AE26"/>
  <c r="AD26"/>
  <c r="AC26"/>
  <c r="AX26" s="1"/>
  <c r="DB25"/>
  <c r="DC25" s="1"/>
  <c r="AF25"/>
  <c r="AE25"/>
  <c r="AD25"/>
  <c r="AC25"/>
  <c r="AX25" s="1"/>
  <c r="BD26" l="1"/>
  <c r="BB26"/>
  <c r="BA26" s="1"/>
  <c r="AY26"/>
  <c r="BC26"/>
  <c r="AZ26"/>
  <c r="BC28"/>
  <c r="BA28"/>
  <c r="AZ28" s="1"/>
  <c r="BD28"/>
  <c r="BB28"/>
  <c r="AY28"/>
  <c r="BD25"/>
  <c r="BB25"/>
  <c r="AY25"/>
  <c r="BC25"/>
  <c r="BA25"/>
  <c r="AZ25" s="1"/>
  <c r="DC26"/>
  <c r="DB24"/>
  <c r="DC24" s="1"/>
  <c r="AF24"/>
  <c r="AE24"/>
  <c r="AD24"/>
  <c r="AC24"/>
  <c r="AX24" s="1"/>
  <c r="BD24" l="1"/>
  <c r="BB24"/>
  <c r="AY24"/>
  <c r="BC24"/>
  <c r="BA24"/>
  <c r="AZ24" s="1"/>
  <c r="DB23"/>
  <c r="DC23" s="1"/>
  <c r="AF23"/>
  <c r="AE23"/>
  <c r="AD23"/>
  <c r="AC23"/>
  <c r="AX23" s="1"/>
  <c r="DB22"/>
  <c r="AF22"/>
  <c r="AE22"/>
  <c r="AD22"/>
  <c r="AC22"/>
  <c r="AX22" s="1"/>
  <c r="DB21"/>
  <c r="DC21" s="1"/>
  <c r="AF21"/>
  <c r="AE21"/>
  <c r="AD21"/>
  <c r="AC21"/>
  <c r="DB20"/>
  <c r="DC20" s="1"/>
  <c r="BD23" l="1"/>
  <c r="BB23"/>
  <c r="AZ23"/>
  <c r="AY23" s="1"/>
  <c r="BC23"/>
  <c r="BA23"/>
  <c r="BC22"/>
  <c r="BA22"/>
  <c r="AY22"/>
  <c r="BB22"/>
  <c r="AZ22"/>
  <c r="BD22"/>
  <c r="DC22"/>
  <c r="AF20"/>
  <c r="AE20"/>
  <c r="AD20"/>
  <c r="AC20"/>
  <c r="DB19"/>
  <c r="DC19" l="1"/>
  <c r="AF19"/>
  <c r="AE19"/>
  <c r="AD19"/>
  <c r="AC19"/>
  <c r="DB18"/>
  <c r="AF18"/>
  <c r="AE18"/>
  <c r="AD18"/>
  <c r="AC18"/>
  <c r="AX18" s="1"/>
  <c r="DE17"/>
  <c r="AY18" l="1"/>
  <c r="AZ18" s="1"/>
  <c r="DC18"/>
  <c r="AF17"/>
  <c r="AE17"/>
  <c r="AD17"/>
  <c r="AC17"/>
  <c r="AX17" s="1"/>
  <c r="DE16"/>
  <c r="DB16"/>
  <c r="AF16"/>
  <c r="AE16"/>
  <c r="AD16"/>
  <c r="AC16"/>
  <c r="AX16" s="1"/>
  <c r="DE15"/>
  <c r="DB15"/>
  <c r="DC15" s="1"/>
  <c r="BC18" l="1"/>
  <c r="BB18"/>
  <c r="BD18"/>
  <c r="BA18"/>
  <c r="BC16"/>
  <c r="BA16"/>
  <c r="AY16"/>
  <c r="BB16"/>
  <c r="AZ16"/>
  <c r="BC17"/>
  <c r="BB17"/>
  <c r="BA17"/>
  <c r="BD17"/>
  <c r="AY17"/>
  <c r="AZ17"/>
  <c r="BD16"/>
  <c r="DC16"/>
  <c r="AF15"/>
  <c r="AE15"/>
  <c r="AD15"/>
  <c r="AC15"/>
  <c r="DE14"/>
  <c r="AF14"/>
  <c r="AE14"/>
  <c r="AD14"/>
  <c r="AC14"/>
  <c r="DE13"/>
  <c r="DB13"/>
  <c r="DC13" s="1"/>
  <c r="AF13" l="1"/>
  <c r="AE13"/>
  <c r="AD13"/>
  <c r="AC13"/>
  <c r="DE12"/>
  <c r="DB12"/>
  <c r="AF12"/>
  <c r="AE12"/>
  <c r="AD12"/>
  <c r="AC12"/>
  <c r="AX12" s="1"/>
  <c r="DE11"/>
  <c r="DB11"/>
  <c r="DC11" s="1"/>
  <c r="AF11"/>
  <c r="AE11"/>
  <c r="AD11"/>
  <c r="AC11"/>
  <c r="AX11" s="1"/>
  <c r="DE10"/>
  <c r="AY11" l="1"/>
  <c r="AZ11" s="1"/>
  <c r="BC12"/>
  <c r="BA12"/>
  <c r="AY12"/>
  <c r="BB12"/>
  <c r="AZ12"/>
  <c r="DC12"/>
  <c r="BD12"/>
  <c r="DB10"/>
  <c r="DC10" s="1"/>
  <c r="AF10"/>
  <c r="AE10"/>
  <c r="AD10"/>
  <c r="AC10"/>
  <c r="DE9" s="1"/>
  <c r="DB9"/>
  <c r="BC11" l="1"/>
  <c r="BB11"/>
  <c r="BD11"/>
  <c r="BA11"/>
  <c r="DC9"/>
  <c r="AF9"/>
  <c r="AE9"/>
  <c r="AD9"/>
  <c r="AC9"/>
  <c r="AX9" s="1"/>
  <c r="BD9" s="1"/>
  <c r="DE8"/>
  <c r="BB9" l="1"/>
  <c r="AZ9"/>
  <c r="BC9"/>
  <c r="BA9"/>
  <c r="AY9"/>
  <c r="DB8"/>
  <c r="DC8" s="1"/>
  <c r="AF8" l="1"/>
  <c r="AE8"/>
  <c r="AD8"/>
  <c r="AC8"/>
  <c r="DE7" s="1"/>
  <c r="AX8" l="1"/>
  <c r="DB7"/>
  <c r="DC7" s="1"/>
  <c r="BC8" l="1"/>
  <c r="BA8"/>
  <c r="AY8"/>
  <c r="BD8"/>
  <c r="BB8"/>
  <c r="AZ8"/>
  <c r="AF7" l="1"/>
  <c r="AE7"/>
  <c r="AD7"/>
  <c r="AC7"/>
  <c r="DE6"/>
  <c r="DB6"/>
  <c r="DC6" s="1"/>
  <c r="AF6"/>
  <c r="AE6"/>
  <c r="AD6"/>
  <c r="AC6"/>
  <c r="AX6" s="1"/>
  <c r="BS7" l="1"/>
  <c r="BR7"/>
  <c r="BT7"/>
  <c r="BC6"/>
  <c r="BA6"/>
  <c r="AY6"/>
  <c r="BB6"/>
  <c r="AZ6"/>
  <c r="S6" l="1"/>
  <c r="DB5"/>
  <c r="CR5"/>
  <c r="CQ5"/>
  <c r="CI5"/>
  <c r="BT5" l="1"/>
  <c r="BR5"/>
  <c r="BS5"/>
  <c r="AF5"/>
  <c r="AE5"/>
  <c r="AD5"/>
  <c r="AC5"/>
  <c r="DE4"/>
  <c r="DB4"/>
  <c r="DC4" s="1"/>
  <c r="CI4"/>
  <c r="AF4" l="1"/>
  <c r="AE4"/>
  <c r="AD4"/>
  <c r="AC4"/>
  <c r="AX4" s="1"/>
  <c r="BD4" l="1"/>
  <c r="BC4"/>
  <c r="BA4"/>
  <c r="AY4"/>
  <c r="BB4"/>
  <c r="AZ4"/>
  <c r="DE3"/>
  <c r="DB3"/>
  <c r="DC3" l="1"/>
  <c r="AF3" l="1"/>
  <c r="AE3"/>
  <c r="AD3"/>
  <c r="AC3"/>
  <c r="T3"/>
  <c r="S3"/>
  <c r="R3"/>
  <c r="N3"/>
  <c r="CK6" s="1"/>
  <c r="BD6" s="1"/>
  <c r="M3"/>
  <c r="L3"/>
  <c r="K3"/>
  <c r="E23" i="3" s="1"/>
  <c r="J3" i="8"/>
  <c r="I3"/>
  <c r="H3"/>
  <c r="CM3"/>
  <c r="U3"/>
  <c r="U6"/>
  <c r="T9" l="1"/>
  <c r="R6"/>
  <c r="Y6"/>
  <c r="Y3"/>
  <c r="X3"/>
  <c r="BU7"/>
  <c r="BV7" s="1"/>
  <c r="BW7" s="1"/>
  <c r="H6"/>
  <c r="CS5"/>
  <c r="BU5"/>
  <c r="BV5" s="1"/>
  <c r="CS4"/>
  <c r="AV4"/>
  <c r="AU4"/>
  <c r="AS4"/>
  <c r="AV9" s="1"/>
  <c r="E24" i="3" s="1"/>
  <c r="AT4" i="8"/>
  <c r="CS3"/>
  <c r="BY3"/>
  <c r="CA3" s="1"/>
  <c r="CB3" s="1"/>
  <c r="BU3"/>
  <c r="E3"/>
  <c r="C3"/>
  <c r="Q17" i="6"/>
  <c r="Q16"/>
  <c r="Q15"/>
  <c r="Q14"/>
  <c r="Q13"/>
  <c r="Q12"/>
  <c r="Q11"/>
  <c r="Q10"/>
  <c r="Q9"/>
  <c r="Q8"/>
  <c r="Q7"/>
  <c r="Q6"/>
  <c r="Q5"/>
  <c r="Q4"/>
  <c r="Q3"/>
  <c r="Q2"/>
  <c r="C34" i="10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BQ7" i="7"/>
  <c r="BP7"/>
  <c r="BO7"/>
  <c r="BQ6"/>
  <c r="BP6"/>
  <c r="BO6"/>
  <c r="BQ5"/>
  <c r="BP5"/>
  <c r="BO5"/>
  <c r="BL5"/>
  <c r="BK5"/>
  <c r="BJ5"/>
  <c r="BQ4"/>
  <c r="BL4"/>
  <c r="CT5" i="8"/>
  <c r="J73" i="3"/>
  <c r="T11" i="8"/>
  <c r="X11" l="1"/>
  <c r="Y11"/>
  <c r="O46" i="5" s="1"/>
  <c r="E29" i="3" s="1"/>
  <c r="BW5" i="8"/>
  <c r="X9"/>
  <c r="L46" i="5" s="1"/>
  <c r="E18" i="3" s="1"/>
  <c r="Y9" i="8"/>
  <c r="AU9"/>
  <c r="D24" i="3" s="1"/>
  <c r="B6" i="8"/>
  <c r="DE5" s="1"/>
  <c r="DC5" s="1"/>
  <c r="L63" i="3" l="1"/>
  <c r="K63"/>
  <c r="L62"/>
  <c r="C62" s="1"/>
  <c r="A62"/>
  <c r="M61" l="1"/>
  <c r="L57" l="1"/>
  <c r="M52"/>
  <c r="L52"/>
  <c r="E21" s="1"/>
  <c r="K52"/>
  <c r="D21" s="1"/>
  <c r="M51"/>
  <c r="L51"/>
  <c r="K51"/>
  <c r="I51"/>
  <c r="M50"/>
  <c r="L50"/>
  <c r="K50"/>
  <c r="I50"/>
  <c r="M49"/>
  <c r="L49"/>
  <c r="K49"/>
  <c r="I49"/>
  <c r="M48"/>
  <c r="L48"/>
  <c r="K48"/>
  <c r="I48"/>
  <c r="M47"/>
  <c r="L47"/>
  <c r="K47"/>
  <c r="I47"/>
  <c r="M46"/>
  <c r="L46"/>
  <c r="K46"/>
  <c r="I46"/>
  <c r="M45"/>
  <c r="L45"/>
  <c r="K45"/>
  <c r="I45"/>
  <c r="M44"/>
  <c r="L44"/>
  <c r="K44"/>
  <c r="I44"/>
  <c r="M43"/>
  <c r="L43"/>
  <c r="K43"/>
  <c r="I43"/>
  <c r="M42"/>
  <c r="L42"/>
  <c r="K42"/>
  <c r="I42"/>
  <c r="M41"/>
  <c r="L41"/>
  <c r="K41"/>
  <c r="I41"/>
  <c r="M40"/>
  <c r="L40"/>
  <c r="K40"/>
  <c r="I40"/>
  <c r="M39"/>
  <c r="L39"/>
  <c r="K39"/>
  <c r="I39"/>
  <c r="M38"/>
  <c r="L38"/>
  <c r="K38"/>
  <c r="I38"/>
  <c r="M37"/>
  <c r="L37"/>
  <c r="K37"/>
  <c r="I37"/>
  <c r="M36"/>
  <c r="L36"/>
  <c r="K36"/>
  <c r="I36"/>
  <c r="M35"/>
  <c r="L35"/>
  <c r="K35"/>
  <c r="I35"/>
  <c r="M34"/>
  <c r="L34"/>
  <c r="K34"/>
  <c r="I34"/>
  <c r="M33"/>
  <c r="L33"/>
  <c r="K33"/>
  <c r="I33"/>
  <c r="M32"/>
  <c r="L32"/>
  <c r="K32"/>
  <c r="I32"/>
  <c r="CC3" i="8" l="1"/>
  <c r="L56" i="3" s="1"/>
  <c r="K56" s="1"/>
  <c r="M29"/>
  <c r="L29"/>
  <c r="K29"/>
  <c r="I29"/>
  <c r="M28"/>
  <c r="L28"/>
  <c r="K28"/>
  <c r="I28"/>
  <c r="M27"/>
  <c r="L27"/>
  <c r="K27"/>
  <c r="I27"/>
  <c r="M26"/>
  <c r="L26"/>
  <c r="K26"/>
  <c r="I26"/>
  <c r="M25"/>
  <c r="L25"/>
  <c r="K25"/>
  <c r="I25"/>
  <c r="M24"/>
  <c r="L24"/>
  <c r="K24"/>
  <c r="I24"/>
  <c r="M23"/>
  <c r="L23"/>
  <c r="K23"/>
  <c r="I23"/>
  <c r="M22"/>
  <c r="L22"/>
  <c r="K22"/>
  <c r="I22"/>
  <c r="M21"/>
  <c r="L21"/>
  <c r="K21"/>
  <c r="I21"/>
  <c r="M20"/>
  <c r="L20"/>
  <c r="K20"/>
  <c r="I20"/>
  <c r="M19"/>
  <c r="L19"/>
  <c r="K19"/>
  <c r="I19"/>
  <c r="M18"/>
  <c r="L18"/>
  <c r="K18"/>
  <c r="I18"/>
  <c r="M17"/>
  <c r="L17"/>
  <c r="K17"/>
  <c r="I17"/>
  <c r="M16"/>
  <c r="L16"/>
  <c r="K16"/>
  <c r="I16"/>
  <c r="M15"/>
  <c r="L15"/>
  <c r="K15"/>
  <c r="I15"/>
  <c r="M14"/>
  <c r="L14"/>
  <c r="K14"/>
  <c r="I14"/>
  <c r="M13"/>
  <c r="L13"/>
  <c r="K13"/>
  <c r="I13"/>
  <c r="M12"/>
  <c r="L12"/>
  <c r="K12"/>
  <c r="I12"/>
  <c r="M11" l="1"/>
  <c r="L11"/>
  <c r="K11"/>
  <c r="I11"/>
  <c r="E11"/>
  <c r="M10"/>
  <c r="L10"/>
  <c r="K10"/>
  <c r="I10"/>
  <c r="M8"/>
  <c r="L8"/>
  <c r="K8"/>
  <c r="I8"/>
  <c r="M7" l="1"/>
  <c r="L7"/>
  <c r="K7"/>
  <c r="I7"/>
  <c r="M6"/>
  <c r="M30" s="1"/>
  <c r="L6"/>
  <c r="L30" s="1"/>
  <c r="K6"/>
  <c r="K30" s="1"/>
  <c r="G4"/>
  <c r="G3"/>
  <c r="B3"/>
  <c r="J2"/>
  <c r="S46" i="5" s="1"/>
  <c r="P46"/>
  <c r="M46"/>
  <c r="H46"/>
  <c r="F64" i="3" s="1"/>
  <c r="F46" i="5"/>
  <c r="B46"/>
  <c r="S16"/>
  <c r="S15"/>
  <c r="K70" i="3" l="1"/>
  <c r="AX3" i="8"/>
  <c r="BD3" s="1"/>
  <c r="AX5"/>
  <c r="BD5" s="1"/>
  <c r="AX7"/>
  <c r="BD7" s="1"/>
  <c r="AX10"/>
  <c r="BD10" s="1"/>
  <c r="AX13"/>
  <c r="BD13" s="1"/>
  <c r="AX14"/>
  <c r="BD14" s="1"/>
  <c r="AX15"/>
  <c r="AX19"/>
  <c r="BD19" s="1"/>
  <c r="AX20"/>
  <c r="BD20" s="1"/>
  <c r="AX21"/>
  <c r="BD21" s="1"/>
  <c r="M68" i="3"/>
  <c r="AX27" i="8"/>
  <c r="BA27" s="1"/>
  <c r="AY3" l="1"/>
  <c r="AY14"/>
  <c r="BB14"/>
  <c r="BC14"/>
  <c r="AZ14"/>
  <c r="BA14"/>
  <c r="BA5"/>
  <c r="BC21"/>
  <c r="AZ21"/>
  <c r="BB21"/>
  <c r="AY10"/>
  <c r="BB10"/>
  <c r="BA10"/>
  <c r="BC10"/>
  <c r="AZ10"/>
  <c r="BC5"/>
  <c r="BC3"/>
  <c r="AZ3"/>
  <c r="BD27"/>
  <c r="AY27"/>
  <c r="AZ27"/>
  <c r="BB27"/>
  <c r="BC27"/>
  <c r="AY21"/>
  <c r="BA21"/>
  <c r="AY20"/>
  <c r="AZ20"/>
  <c r="BC20"/>
  <c r="BB20"/>
  <c r="BA20"/>
  <c r="BC19"/>
  <c r="AZ19"/>
  <c r="BB19"/>
  <c r="AY19"/>
  <c r="BA19"/>
  <c r="AY15"/>
  <c r="AZ15" s="1"/>
  <c r="BC13"/>
  <c r="BA13"/>
  <c r="AY13"/>
  <c r="AZ13"/>
  <c r="BB13"/>
  <c r="BC7"/>
  <c r="AZ7"/>
  <c r="AY7"/>
  <c r="BB7"/>
  <c r="BA7"/>
  <c r="AY5"/>
  <c r="AZ5"/>
  <c r="BB5"/>
  <c r="BB3"/>
  <c r="BA3"/>
  <c r="BA15" l="1"/>
  <c r="BA29" s="1"/>
  <c r="L53" i="3" s="1"/>
  <c r="BC15" i="8"/>
  <c r="BC29" s="1"/>
  <c r="BD15"/>
  <c r="BD29" s="1"/>
  <c r="M53" i="3" s="1"/>
  <c r="M54" s="1"/>
  <c r="L72" s="1"/>
  <c r="K72" s="1"/>
  <c r="BB15" i="8"/>
  <c r="BB29" s="1"/>
  <c r="AZ29"/>
  <c r="K53" i="3" s="1"/>
  <c r="R46" i="5" l="1"/>
  <c r="S17"/>
  <c r="L54" i="3"/>
  <c r="E20" s="1"/>
  <c r="E9"/>
  <c r="L60"/>
  <c r="D9"/>
  <c r="K54"/>
  <c r="D20" s="1"/>
  <c r="K60"/>
  <c r="G20"/>
  <c r="L55"/>
  <c r="B5" i="14" l="1"/>
  <c r="B6"/>
  <c r="L58" i="3"/>
  <c r="L64" s="1"/>
  <c r="E8"/>
  <c r="K58"/>
  <c r="K64" s="1"/>
  <c r="CR4" i="8" s="1"/>
  <c r="S11" i="5"/>
  <c r="S7"/>
  <c r="L67" i="3"/>
  <c r="CQ3" i="8" s="1"/>
  <c r="D46" i="5"/>
  <c r="CI3" i="8"/>
  <c r="S12" i="5"/>
  <c r="CR3" i="8"/>
  <c r="BO3"/>
  <c r="BP3" s="1"/>
  <c r="BQ3" s="1"/>
  <c r="A46" i="5"/>
  <c r="D8" i="3"/>
  <c r="L66"/>
  <c r="CJ3" i="8" s="1"/>
  <c r="G21" i="3"/>
  <c r="L59"/>
  <c r="CK3" i="8"/>
  <c r="L65" i="3"/>
  <c r="CT3" i="8"/>
  <c r="L68" i="3" l="1"/>
  <c r="S13" i="5"/>
  <c r="G46"/>
  <c r="S8"/>
  <c r="BS3" i="8"/>
  <c r="BT3"/>
  <c r="BR3"/>
  <c r="S9" i="5"/>
  <c r="L69" i="3"/>
  <c r="CQ4" i="8" s="1"/>
  <c r="J46" i="5"/>
  <c r="I46" s="1"/>
  <c r="C66" i="3" s="1"/>
  <c r="S14" i="5"/>
  <c r="F24" i="14"/>
  <c r="I17"/>
  <c r="L59"/>
  <c r="F12"/>
  <c r="I45"/>
  <c r="L70"/>
  <c r="F57"/>
  <c r="O68"/>
  <c r="L57"/>
  <c r="O42"/>
  <c r="L14"/>
  <c r="F64"/>
  <c r="O12"/>
  <c r="F84"/>
  <c r="O25"/>
  <c r="I57"/>
  <c r="F50"/>
  <c r="O48"/>
  <c r="I23"/>
  <c r="I66"/>
  <c r="L20"/>
  <c r="F19"/>
  <c r="I69"/>
  <c r="L63"/>
  <c r="I10"/>
  <c r="O29"/>
  <c r="F75"/>
  <c r="F44"/>
  <c r="O72"/>
  <c r="G8" i="3"/>
  <c r="I40" i="14"/>
  <c r="L82"/>
  <c r="F61"/>
  <c r="O23"/>
  <c r="L64"/>
  <c r="I34"/>
  <c r="O53"/>
  <c r="F51"/>
  <c r="I37"/>
  <c r="L31"/>
  <c r="F70"/>
  <c r="I64"/>
  <c r="F54"/>
  <c r="L24"/>
  <c r="O40"/>
  <c r="L61"/>
  <c r="F10"/>
  <c r="L50"/>
  <c r="F32"/>
  <c r="I51"/>
  <c r="O70"/>
  <c r="O73"/>
  <c r="O10"/>
  <c r="O38"/>
  <c r="I62"/>
  <c r="L15"/>
  <c r="F82"/>
  <c r="L52"/>
  <c r="O34"/>
  <c r="F26"/>
  <c r="F30"/>
  <c r="L43"/>
  <c r="I58"/>
  <c r="F53"/>
  <c r="I59"/>
  <c r="L13"/>
  <c r="L16"/>
  <c r="O67"/>
  <c r="L72"/>
  <c r="F15"/>
  <c r="O22"/>
  <c r="I60"/>
  <c r="O11"/>
  <c r="O27"/>
  <c r="F71"/>
  <c r="I33"/>
  <c r="L75"/>
  <c r="L17"/>
  <c r="O46"/>
  <c r="I13"/>
  <c r="F65"/>
  <c r="O71"/>
  <c r="F69"/>
  <c r="I15"/>
  <c r="L30"/>
  <c r="L80"/>
  <c r="O26"/>
  <c r="F35"/>
  <c r="O13"/>
  <c r="L19"/>
  <c r="O31"/>
  <c r="L53"/>
  <c r="I43"/>
  <c r="L54"/>
  <c r="G9" i="3"/>
  <c r="I29" i="14"/>
  <c r="L55"/>
  <c r="F16"/>
  <c r="O21"/>
  <c r="F83"/>
  <c r="F13"/>
  <c r="O64"/>
  <c r="L85"/>
  <c r="I32"/>
  <c r="L74"/>
  <c r="F27"/>
  <c r="F86"/>
  <c r="L29"/>
  <c r="F76"/>
  <c r="L18"/>
  <c r="I27"/>
  <c r="L40"/>
  <c r="I46"/>
  <c r="F42"/>
  <c r="F59"/>
  <c r="F23"/>
  <c r="O14"/>
  <c r="I44"/>
  <c r="I70"/>
  <c r="O33"/>
  <c r="F79"/>
  <c r="I25"/>
  <c r="L67"/>
  <c r="I14"/>
  <c r="F20"/>
  <c r="L78"/>
  <c r="F49"/>
  <c r="L11"/>
  <c r="L81"/>
  <c r="L48"/>
  <c r="F56"/>
  <c r="F55"/>
  <c r="I49"/>
  <c r="F46"/>
  <c r="I38"/>
  <c r="I12"/>
  <c r="F62"/>
  <c r="F25"/>
  <c r="L35"/>
  <c r="F60"/>
  <c r="L41"/>
  <c r="L46"/>
  <c r="F81"/>
  <c r="O44"/>
  <c r="L49"/>
  <c r="F72"/>
  <c r="O55"/>
  <c r="L76"/>
  <c r="I55"/>
  <c r="F63"/>
  <c r="I48"/>
  <c r="I21"/>
  <c r="O45"/>
  <c r="F74"/>
  <c r="L27"/>
  <c r="O32"/>
  <c r="F43"/>
  <c r="F48"/>
  <c r="O50"/>
  <c r="I16"/>
  <c r="L44"/>
  <c r="O63"/>
  <c r="L84"/>
  <c r="I63"/>
  <c r="O66"/>
  <c r="O49"/>
  <c r="L86"/>
  <c r="L28"/>
  <c r="F11"/>
  <c r="I61"/>
  <c r="L71"/>
  <c r="I18"/>
  <c r="O37"/>
  <c r="F67"/>
  <c r="L37"/>
  <c r="O35"/>
  <c r="F14"/>
  <c r="I9"/>
  <c r="F73"/>
  <c r="O56"/>
  <c r="L77"/>
  <c r="I24"/>
  <c r="L66"/>
  <c r="F77"/>
  <c r="I67"/>
  <c r="L21"/>
  <c r="L32"/>
  <c r="L10"/>
  <c r="L58"/>
  <c r="I11"/>
  <c r="O30"/>
  <c r="I68"/>
  <c r="O19"/>
  <c r="O65"/>
  <c r="F41"/>
  <c r="O24"/>
  <c r="L45"/>
  <c r="F34"/>
  <c r="L34"/>
  <c r="F58"/>
  <c r="I35"/>
  <c r="O54"/>
  <c r="O41"/>
  <c r="O43"/>
  <c r="O59"/>
  <c r="F39"/>
  <c r="I65"/>
  <c r="I20"/>
  <c r="I54"/>
  <c r="I52"/>
  <c r="F36"/>
  <c r="F9"/>
  <c r="L51"/>
  <c r="L79"/>
  <c r="F52"/>
  <c r="I22"/>
  <c r="L9"/>
  <c r="L23"/>
  <c r="F33"/>
  <c r="I31"/>
  <c r="F45"/>
  <c r="L38"/>
  <c r="O61"/>
  <c r="L42"/>
  <c r="I30"/>
  <c r="O47"/>
  <c r="O57"/>
  <c r="F40"/>
  <c r="I72"/>
  <c r="L69"/>
  <c r="I28"/>
  <c r="O16"/>
  <c r="O17"/>
  <c r="F68"/>
  <c r="I42"/>
  <c r="L25"/>
  <c r="O62"/>
  <c r="O51"/>
  <c r="F31"/>
  <c r="O52"/>
  <c r="O9"/>
  <c r="F47"/>
  <c r="F29"/>
  <c r="L22"/>
  <c r="L62"/>
  <c r="O60"/>
  <c r="L65"/>
  <c r="F85"/>
  <c r="F78"/>
  <c r="I71"/>
  <c r="O58"/>
  <c r="O15"/>
  <c r="L36"/>
  <c r="O18"/>
  <c r="I19"/>
  <c r="O20"/>
  <c r="F38"/>
  <c r="O28"/>
  <c r="L33"/>
  <c r="O39"/>
  <c r="L60"/>
  <c r="I39"/>
  <c r="I36"/>
  <c r="I50"/>
  <c r="O69"/>
  <c r="I53"/>
  <c r="L47"/>
  <c r="F28"/>
  <c r="L26"/>
  <c r="I26"/>
  <c r="F66"/>
  <c r="L83"/>
  <c r="I56"/>
  <c r="F80"/>
  <c r="F22"/>
  <c r="O36"/>
  <c r="F37"/>
  <c r="F17"/>
  <c r="I47"/>
  <c r="L56"/>
  <c r="L12"/>
  <c r="L73"/>
  <c r="I41"/>
  <c r="F21"/>
  <c r="F18"/>
  <c r="L39"/>
  <c r="L68"/>
  <c r="O74"/>
  <c r="CT4" i="8"/>
  <c r="B21" i="14" l="1"/>
  <c r="I7" s="1"/>
  <c r="B17"/>
  <c r="I5" s="1"/>
  <c r="B9"/>
  <c r="F5" s="1"/>
  <c r="B13"/>
  <c r="F7" s="1"/>
  <c r="B37"/>
  <c r="O7" s="1"/>
  <c r="B33"/>
  <c r="O5" s="1"/>
  <c r="B25"/>
  <c r="L5" s="1"/>
  <c r="B29"/>
  <c r="L7" s="1"/>
  <c r="BV3" i="8"/>
  <c r="K68" i="3"/>
  <c r="K69"/>
  <c r="V9" i="8" l="1"/>
  <c r="V11"/>
  <c r="BW3"/>
  <c r="W11" s="1"/>
  <c r="B26" i="14"/>
  <c r="B27"/>
  <c r="B38"/>
  <c r="B39"/>
  <c r="B10"/>
  <c r="B11"/>
  <c r="B23"/>
  <c r="B22"/>
  <c r="B30"/>
  <c r="B31"/>
  <c r="B34"/>
  <c r="B35"/>
  <c r="B14"/>
  <c r="B15"/>
  <c r="B19"/>
  <c r="B18"/>
  <c r="V3" i="8"/>
  <c r="C46" i="5" s="1"/>
  <c r="C64" i="3" s="1"/>
  <c r="K67" s="1"/>
  <c r="M66" s="1"/>
  <c r="W3" i="8" l="1"/>
  <c r="W9"/>
  <c r="I4" i="6"/>
  <c r="I2"/>
  <c r="L9"/>
  <c r="L8"/>
  <c r="L7"/>
  <c r="L3"/>
  <c r="H4"/>
  <c r="H2"/>
  <c r="K8"/>
  <c r="K9"/>
  <c r="H6"/>
  <c r="H5"/>
  <c r="I7"/>
  <c r="I3"/>
  <c r="K2"/>
  <c r="K4"/>
  <c r="H9"/>
  <c r="H8"/>
  <c r="K5"/>
  <c r="K6"/>
  <c r="K3"/>
  <c r="K7"/>
  <c r="I6"/>
  <c r="I5"/>
  <c r="H7"/>
  <c r="H3"/>
  <c r="L2"/>
  <c r="L4"/>
  <c r="I9"/>
  <c r="I8"/>
  <c r="L5"/>
  <c r="L6"/>
  <c r="K46" i="5" l="1"/>
  <c r="F66" i="3" s="1"/>
  <c r="E46" i="5"/>
  <c r="O6" i="8"/>
  <c r="F3" s="1"/>
  <c r="P3"/>
  <c r="E22" i="3" s="1"/>
  <c r="O3" i="8"/>
  <c r="D22" i="3" s="1"/>
  <c r="D28" s="1"/>
  <c r="P6" i="8"/>
  <c r="G3" s="1"/>
  <c r="E10" i="3" s="1"/>
  <c r="BJ3" i="8"/>
  <c r="CJ5" s="1"/>
  <c r="CK5"/>
  <c r="E17" i="3" l="1"/>
  <c r="E28"/>
  <c r="M71"/>
  <c r="M69"/>
  <c r="M67"/>
  <c r="D8" i="8"/>
  <c r="D10" i="3"/>
  <c r="D17" s="1"/>
  <c r="D6" i="8"/>
  <c r="BM3"/>
  <c r="BK3"/>
  <c r="G23" i="3"/>
  <c r="G27"/>
  <c r="G26"/>
  <c r="G29"/>
  <c r="G25"/>
  <c r="G24"/>
  <c r="G22"/>
  <c r="G18"/>
  <c r="G11"/>
  <c r="BL3" i="8" l="1"/>
  <c r="CJ4" s="1"/>
  <c r="G15" i="3"/>
  <c r="G14"/>
  <c r="G13"/>
  <c r="G12"/>
  <c r="G16"/>
  <c r="G10"/>
  <c r="CK4" i="8"/>
  <c r="CK7" l="1"/>
  <c r="M72" i="3" s="1"/>
</calcChain>
</file>

<file path=xl/sharedStrings.xml><?xml version="1.0" encoding="utf-8"?>
<sst xmlns="http://schemas.openxmlformats.org/spreadsheetml/2006/main" count="1689" uniqueCount="750">
  <si>
    <t>%MAC</t>
  </si>
  <si>
    <t>MAC</t>
  </si>
  <si>
    <t>Name</t>
  </si>
  <si>
    <t>Station</t>
  </si>
  <si>
    <t>Weight</t>
  </si>
  <si>
    <t>Pilot</t>
  </si>
  <si>
    <t>1/9</t>
  </si>
  <si>
    <t>F - 1 6  F O R M  F</t>
  </si>
  <si>
    <t>ITEM</t>
  </si>
  <si>
    <t>BASIC AIRCRAFT (From Chart C)</t>
  </si>
  <si>
    <t>WEIGHT</t>
  </si>
  <si>
    <t>Expendable Ammunition</t>
  </si>
  <si>
    <t>WEIGHT AND BALANCE CLEARANCE FORM F - TACTICAL</t>
  </si>
  <si>
    <t>HOME STATION</t>
  </si>
  <si>
    <t>PILOT</t>
  </si>
  <si>
    <t>AS ASSIGNED</t>
  </si>
  <si>
    <t>EDWARDS AFB, CA</t>
  </si>
  <si>
    <t>DATE(YYYYMMDD)</t>
  </si>
  <si>
    <t>MISSION</t>
  </si>
  <si>
    <t>AIRCRAFT</t>
  </si>
  <si>
    <t>SERIAL NO</t>
  </si>
  <si>
    <t>TO</t>
  </si>
  <si>
    <t>AS REQUIRED</t>
  </si>
  <si>
    <t>WORST CASE CONDITIONS CALCULATIONS</t>
  </si>
  <si>
    <t>REF</t>
  </si>
  <si>
    <t>MOM/100</t>
  </si>
  <si>
    <t>M O S T  F W D</t>
  </si>
  <si>
    <t>Retained Ammunition</t>
  </si>
  <si>
    <t>LOAD DISTRIBUTION</t>
  </si>
  <si>
    <t>RAMP WEIGHT</t>
  </si>
  <si>
    <t>REMOVE ALL FUEL</t>
  </si>
  <si>
    <t>Most FWD Fuel Condition</t>
  </si>
  <si>
    <t>Gear-Up Moment (GUMC)</t>
  </si>
  <si>
    <t>MOST FORWARD CONDITION</t>
  </si>
  <si>
    <t>MOST FWD CG LIMIT vs ACTUAL</t>
  </si>
  <si>
    <t>M O S T  A F T</t>
  </si>
  <si>
    <t>Most AFT Fuel Condition</t>
  </si>
  <si>
    <t>MOST AFT CONDITION</t>
  </si>
  <si>
    <t>MOST AFT CG LIMIT vs ACTUAL</t>
  </si>
  <si>
    <t>5th % Pilots</t>
  </si>
  <si>
    <t>OPERATING WEIGHT</t>
  </si>
  <si>
    <t xml:space="preserve">   Expendable Ammunition</t>
  </si>
  <si>
    <t>BOMBS MISSILES</t>
  </si>
  <si>
    <t>Internal Fuel</t>
  </si>
  <si>
    <t>External Fuel</t>
  </si>
  <si>
    <t>RAMP CG (Gear Down) (%MAC)</t>
  </si>
  <si>
    <t>TAXI/TAKEOFF FUEL</t>
  </si>
  <si>
    <t>GEAR UP Moment (GUMC)</t>
  </si>
  <si>
    <t>TAKEOFF WEIGHT</t>
  </si>
  <si>
    <t>TAKEOFF CG (Gear Up) (%MAC)</t>
  </si>
  <si>
    <t>TAKEOFF FUEL</t>
  </si>
  <si>
    <t>LESS EXPENDABLES</t>
  </si>
  <si>
    <t>GEAR DOWN Moment (GDMC)</t>
  </si>
  <si>
    <t>ESTIMATED LANDING FUEL</t>
  </si>
  <si>
    <t>ESTIMATED LANDING WEIGHT</t>
  </si>
  <si>
    <t>ESTIMATED LANDING CG (GD) (%MAC)</t>
  </si>
  <si>
    <t>LIMITATIONS</t>
  </si>
  <si>
    <t>GROSS WT. TAKEOFF (lb)</t>
  </si>
  <si>
    <t>GROSS WT. LANDING (lb)</t>
  </si>
  <si>
    <t>PERMISSIBLE CG</t>
  </si>
  <si>
    <t>TAKEOFF (%MAC)</t>
  </si>
  <si>
    <t>FORWARD</t>
  </si>
  <si>
    <t>AFT</t>
  </si>
  <si>
    <t>LANDING (%MAC)</t>
  </si>
  <si>
    <t>Ramp Weight vs Limit</t>
  </si>
  <si>
    <t>Takeoff CG (Gear Down)</t>
  </si>
  <si>
    <t>Takeoff CG (Gear Up)</t>
  </si>
  <si>
    <t>Landing CG (Gear Down)</t>
  </si>
  <si>
    <t>Most Forward CG</t>
  </si>
  <si>
    <t>Most Aft CG</t>
  </si>
  <si>
    <t>Lateral Asymmetry vs. Limit</t>
  </si>
  <si>
    <t>PILOT SIGNATURE</t>
  </si>
  <si>
    <t>COMPUTED BY SIGNATURE</t>
  </si>
  <si>
    <t>WEIGHT AND BALANCE AUTHORITY SIGNATURE</t>
  </si>
  <si>
    <t>REMARKS</t>
  </si>
  <si>
    <t>Lat MOM/100</t>
  </si>
  <si>
    <t>Lon MOM/100</t>
  </si>
  <si>
    <t>Station 1</t>
  </si>
  <si>
    <t>Station 2</t>
  </si>
  <si>
    <t>Station 3</t>
  </si>
  <si>
    <t>Station 4</t>
  </si>
  <si>
    <t>Station 5</t>
  </si>
  <si>
    <t>Station 6</t>
  </si>
  <si>
    <t>Station 7</t>
  </si>
  <si>
    <t>Station 8</t>
  </si>
  <si>
    <t>Station 9</t>
  </si>
  <si>
    <t>Station 5L</t>
  </si>
  <si>
    <t>Station 5R</t>
  </si>
  <si>
    <t>Serial</t>
  </si>
  <si>
    <t>Gross Weight Takeoff</t>
  </si>
  <si>
    <t>Gross Weight Landing</t>
  </si>
  <si>
    <t>Lateral Assymetric Limit</t>
  </si>
  <si>
    <t xml:space="preserve">Gear Down Aft CG Limit </t>
  </si>
  <si>
    <t>Gear Down Forward CG Limit</t>
  </si>
  <si>
    <t>Gear Up Aft CG Limit</t>
  </si>
  <si>
    <t>Gear Up Forward CG Limit</t>
  </si>
  <si>
    <t>78-00210</t>
  </si>
  <si>
    <t>80-00584</t>
  </si>
  <si>
    <t>80-03666</t>
  </si>
  <si>
    <t>85-01460</t>
  </si>
  <si>
    <t>83-01120</t>
  </si>
  <si>
    <t>83-01163</t>
  </si>
  <si>
    <t>85-01547</t>
  </si>
  <si>
    <t>85-01551</t>
  </si>
  <si>
    <t>85-01560</t>
  </si>
  <si>
    <t>85-01572</t>
  </si>
  <si>
    <t>85-00047</t>
  </si>
  <si>
    <t>86-00315</t>
  </si>
  <si>
    <t>86-00371</t>
  </si>
  <si>
    <t>86-06050</t>
  </si>
  <si>
    <t>87-00352</t>
  </si>
  <si>
    <t>87-00370</t>
  </si>
  <si>
    <t>87-00373</t>
  </si>
  <si>
    <t>87-00378</t>
  </si>
  <si>
    <t>87-00386</t>
  </si>
  <si>
    <t>87-00391</t>
  </si>
  <si>
    <t>87-00392</t>
  </si>
  <si>
    <t>88-00174</t>
  </si>
  <si>
    <t>88-00445</t>
  </si>
  <si>
    <t>88-00456</t>
  </si>
  <si>
    <t>88-00498</t>
  </si>
  <si>
    <t>89-02169</t>
  </si>
  <si>
    <t>90-00797</t>
  </si>
  <si>
    <t>90-00835</t>
  </si>
  <si>
    <t>90-00840</t>
  </si>
  <si>
    <t>91-01464</t>
  </si>
  <si>
    <t>91-00383</t>
  </si>
  <si>
    <t>92-00622</t>
  </si>
  <si>
    <t>Selected Aircraft</t>
  </si>
  <si>
    <t>Row</t>
  </si>
  <si>
    <t>Selected Stores</t>
  </si>
  <si>
    <t>5L</t>
  </si>
  <si>
    <t>5R</t>
  </si>
  <si>
    <t>Jettisonable</t>
  </si>
  <si>
    <t>Percent MAC</t>
  </si>
  <si>
    <t>Datum to Leading Edge</t>
  </si>
  <si>
    <t>Internal Fuel Longitudinal Moment</t>
  </si>
  <si>
    <t>Most Aft Fuel Condition Weight</t>
  </si>
  <si>
    <t>Most Aft Fuel Condition Longitudinal Moment</t>
  </si>
  <si>
    <t>Longitudinal Moment /100</t>
  </si>
  <si>
    <t>Crew Position</t>
  </si>
  <si>
    <t>Crew</t>
  </si>
  <si>
    <t>Estimated Landing Fuel</t>
  </si>
  <si>
    <t>Fuel Store</t>
  </si>
  <si>
    <t>Internal</t>
  </si>
  <si>
    <t>External</t>
  </si>
  <si>
    <t>Fuels</t>
  </si>
  <si>
    <t>Taxi/Takeoff Fuel</t>
  </si>
  <si>
    <t>Gear Up Moment</t>
  </si>
  <si>
    <t>Type</t>
  </si>
  <si>
    <t>Serial Row</t>
  </si>
  <si>
    <t>Chin Stations</t>
  </si>
  <si>
    <t>Category</t>
  </si>
  <si>
    <t>L</t>
  </si>
  <si>
    <t>R</t>
  </si>
  <si>
    <t>LR</t>
  </si>
  <si>
    <t>E</t>
  </si>
  <si>
    <t>Category Reference</t>
  </si>
  <si>
    <t>CAT III</t>
  </si>
  <si>
    <t>CAT I</t>
  </si>
  <si>
    <t>Chin Station Reference</t>
  </si>
  <si>
    <t>Category Lookup Value</t>
  </si>
  <si>
    <t>Lateral Moment /100</t>
  </si>
  <si>
    <t>Lateral Moment / 100</t>
  </si>
  <si>
    <t>Fuel Tanks on Stations 4 &amp; 6</t>
  </si>
  <si>
    <t>Tank?</t>
  </si>
  <si>
    <t>TOTALS:</t>
  </si>
  <si>
    <t>Combo</t>
  </si>
  <si>
    <t>Total Weight</t>
  </si>
  <si>
    <t>Total Lon Moment</t>
  </si>
  <si>
    <t>Most Aft and Forward CG Calculation</t>
  </si>
  <si>
    <t>Aft Worst Case Weight</t>
  </si>
  <si>
    <t>Aft Worst Case Lon Mom</t>
  </si>
  <si>
    <t>Fwd Worst Case Weight</t>
  </si>
  <si>
    <t>Fwd Worst Case Lon Mom</t>
  </si>
  <si>
    <t>CG</t>
  </si>
  <si>
    <t>Worst Case Aft and Fwd Cases</t>
  </si>
  <si>
    <t>F-16AM 10/15</t>
  </si>
  <si>
    <t>F-16BM 10/15</t>
  </si>
  <si>
    <t>F-16C 25/30/32</t>
  </si>
  <si>
    <t>F-16D 25/30/32</t>
  </si>
  <si>
    <t>F-16CM 40/42</t>
  </si>
  <si>
    <t>F-16CM 50/52</t>
  </si>
  <si>
    <t>F-16DM 40/42</t>
  </si>
  <si>
    <t>F-16DM 50/52</t>
  </si>
  <si>
    <t>Type Row</t>
  </si>
  <si>
    <t>Tank Type</t>
  </si>
  <si>
    <t>Most Fwd Fuel Weight</t>
  </si>
  <si>
    <t>Most Fwd Fuel Lon MOM/100</t>
  </si>
  <si>
    <t>Full Weight</t>
  </si>
  <si>
    <t>Full Moment Arm</t>
  </si>
  <si>
    <t>Fuel Weight</t>
  </si>
  <si>
    <t>Moment Arm</t>
  </si>
  <si>
    <t>Fuel Lon MOM/100</t>
  </si>
  <si>
    <t>Most Fwd Weight</t>
  </si>
  <si>
    <t>Most Fwd Lon MOM/100</t>
  </si>
  <si>
    <t>Most Fwd Fuel Moment</t>
  </si>
  <si>
    <t>Gross Weight</t>
  </si>
  <si>
    <t>Fwd %MAC, Nose Tire 300-310 PSI</t>
  </si>
  <si>
    <t>Fwd %MAC, Nose Tire 255-265 PSI</t>
  </si>
  <si>
    <t>Fwd %MAC, Nose Tire 215-225 PSI</t>
  </si>
  <si>
    <t>Aft %MAC</t>
  </si>
  <si>
    <t>Fwd %MAC</t>
  </si>
  <si>
    <t>Block 40/42/50/52</t>
  </si>
  <si>
    <t>Block 10/15/25/30/32</t>
  </si>
  <si>
    <t>Round Up to Nearest Hundred</t>
  </si>
  <si>
    <t>10/15/25/30/32</t>
  </si>
  <si>
    <t>40/42/50/52</t>
  </si>
  <si>
    <t>Block 40/50?</t>
  </si>
  <si>
    <t>NW CG Limits</t>
  </si>
  <si>
    <t>Gear Down Forward T/O CG Limit</t>
  </si>
  <si>
    <t>Gear Down Forward Landing CG Limit</t>
  </si>
  <si>
    <t>A/C Type / Mission Type</t>
  </si>
  <si>
    <t>F-16AM Clean</t>
  </si>
  <si>
    <t>F-16AM Centerline</t>
  </si>
  <si>
    <t>F-16BM 3 Tanks</t>
  </si>
  <si>
    <t>F-16AM 3 Tanks</t>
  </si>
  <si>
    <t>F-16AM Wing Tanks</t>
  </si>
  <si>
    <t>F-16AM Air-to-Surface</t>
  </si>
  <si>
    <t>F-16BM Clean</t>
  </si>
  <si>
    <t>F-16BM Centerline</t>
  </si>
  <si>
    <t>F-16BM Wing Tanks</t>
  </si>
  <si>
    <t>F-16BM Air-to-Surface</t>
  </si>
  <si>
    <t>F-16C Clean</t>
  </si>
  <si>
    <t>F-16C Centerline</t>
  </si>
  <si>
    <t>F-16C Wing Tanks</t>
  </si>
  <si>
    <t>F-16C 3 Tanks</t>
  </si>
  <si>
    <t>F-16C Air-to-Surface</t>
  </si>
  <si>
    <t>F-16D Clean</t>
  </si>
  <si>
    <t>F-16D Centerline</t>
  </si>
  <si>
    <t>F-16D Wing Tanks</t>
  </si>
  <si>
    <t>F-16D 3 Tanks</t>
  </si>
  <si>
    <t>F-16D Air-to-Surface</t>
  </si>
  <si>
    <t>F-16CM Clean</t>
  </si>
  <si>
    <t>F-16CM Centerline</t>
  </si>
  <si>
    <t>F-16CM Wing Tanks</t>
  </si>
  <si>
    <t>F-16CM 3 Tanks</t>
  </si>
  <si>
    <t>F-16CM Air-to-Surface</t>
  </si>
  <si>
    <t>F-16DM Clean</t>
  </si>
  <si>
    <t>F-16DM Centerline</t>
  </si>
  <si>
    <t>F-16DM Wing Tanks</t>
  </si>
  <si>
    <t>F-16DM 3 Tanks</t>
  </si>
  <si>
    <t>F-16DM Air-to-Surface</t>
  </si>
  <si>
    <t>A/C Type</t>
  </si>
  <si>
    <t>Mission</t>
  </si>
  <si>
    <t>Lookup Value</t>
  </si>
  <si>
    <t>Taxi Fuel</t>
  </si>
  <si>
    <t>Taxi Fuel Moment</t>
  </si>
  <si>
    <t>Taxi / Takeoff Fuel</t>
  </si>
  <si>
    <t>Dual</t>
  </si>
  <si>
    <t>Solo</t>
  </si>
  <si>
    <t>5th % Pilot</t>
  </si>
  <si>
    <t>Result</t>
  </si>
  <si>
    <t>Worst Case Fwd</t>
  </si>
  <si>
    <t>Worst Case Aft</t>
  </si>
  <si>
    <t>Checkbox</t>
  </si>
  <si>
    <t>Shape Name</t>
  </si>
  <si>
    <t>Oval 32</t>
  </si>
  <si>
    <t>Rectangle 37</t>
  </si>
  <si>
    <t>Oval 47</t>
  </si>
  <si>
    <t>Rectangle 38</t>
  </si>
  <si>
    <t>Oval 48</t>
  </si>
  <si>
    <t>Rectangle 39</t>
  </si>
  <si>
    <t>Oval 49</t>
  </si>
  <si>
    <t>Rectangle 40</t>
  </si>
  <si>
    <t>Oval 50</t>
  </si>
  <si>
    <t>Oval 51</t>
  </si>
  <si>
    <t>Rectangle 44</t>
  </si>
  <si>
    <t>Oval 52</t>
  </si>
  <si>
    <t>Oval 53</t>
  </si>
  <si>
    <t>Rectangle 43</t>
  </si>
  <si>
    <t>Oval 54</t>
  </si>
  <si>
    <t>Rectangle 42</t>
  </si>
  <si>
    <t>Oval 55</t>
  </si>
  <si>
    <t>Rectangle 41</t>
  </si>
  <si>
    <t>Oval 58</t>
  </si>
  <si>
    <t>Rectangle 56</t>
  </si>
  <si>
    <t>CHAFF/FLARE</t>
  </si>
  <si>
    <t>Ramp Weight</t>
  </si>
  <si>
    <t>Takeoff Weight</t>
  </si>
  <si>
    <t>Est. Landing Weight</t>
  </si>
  <si>
    <t>Lat Asymmetry vs. Limit</t>
  </si>
  <si>
    <t>Chaff/Flare</t>
  </si>
  <si>
    <t>Column Number:</t>
  </si>
  <si>
    <t>Remove Backseater?</t>
  </si>
  <si>
    <t>Column</t>
  </si>
  <si>
    <t>Graphical Stores</t>
  </si>
  <si>
    <t>Display Name</t>
  </si>
  <si>
    <t>FWD Limit</t>
  </si>
  <si>
    <t>AFT Limit</t>
  </si>
  <si>
    <t>Limit</t>
  </si>
  <si>
    <t>CG Limit vs Actual</t>
  </si>
  <si>
    <t>Landing Fuel Moment</t>
  </si>
  <si>
    <t>Most Fwd Fuel Condition Weight</t>
  </si>
  <si>
    <t>Most Fwd Fuel Condition Moment</t>
  </si>
  <si>
    <t>Most Fwd</t>
  </si>
  <si>
    <t>Include GUMC in Worst Aft Calc</t>
  </si>
  <si>
    <t>AFT GUMC?</t>
  </si>
  <si>
    <t>92-00731</t>
  </si>
  <si>
    <t>Worst Case Asymmetric Limit</t>
  </si>
  <si>
    <t>Case</t>
  </si>
  <si>
    <t>Ramp</t>
  </si>
  <si>
    <t>Most Aft</t>
  </si>
  <si>
    <t>Aircraft</t>
  </si>
  <si>
    <t>Worst Case:</t>
  </si>
  <si>
    <t>Reg Number</t>
  </si>
  <si>
    <t>Full Text</t>
  </si>
  <si>
    <t>HTS Pod?</t>
  </si>
  <si>
    <t>Takeoff</t>
  </si>
  <si>
    <t>Landing</t>
  </si>
  <si>
    <t>Block</t>
  </si>
  <si>
    <t>Nose Wheel Condition</t>
  </si>
  <si>
    <t>Nose Wheel Steering Condition</t>
  </si>
  <si>
    <t>Unabbreviated</t>
  </si>
  <si>
    <t>Manual Stores</t>
  </si>
  <si>
    <t>Lon MOM</t>
  </si>
  <si>
    <t>Lat MOM</t>
  </si>
  <si>
    <t>8</t>
  </si>
  <si>
    <t>Jett</t>
  </si>
  <si>
    <t>Jettisonable Ammunition</t>
  </si>
  <si>
    <t xml:space="preserve">Total </t>
  </si>
  <si>
    <t>Jett Status</t>
  </si>
  <si>
    <t>1</t>
  </si>
  <si>
    <t>9</t>
  </si>
  <si>
    <t>Manual Tail Number</t>
  </si>
  <si>
    <t>Range</t>
  </si>
  <si>
    <t>Drop Down 207</t>
  </si>
  <si>
    <t>Drop Down 209</t>
  </si>
  <si>
    <t>Drop Down 206</t>
  </si>
  <si>
    <t>Drop Down 208</t>
  </si>
  <si>
    <t>Drop Down 5</t>
  </si>
  <si>
    <t>Drop Down 16</t>
  </si>
  <si>
    <t>Drop Down 6</t>
  </si>
  <si>
    <t>Drop Down 17</t>
  </si>
  <si>
    <t>Drop Down 7</t>
  </si>
  <si>
    <t>Drop Down 18</t>
  </si>
  <si>
    <t>Drop Down 8</t>
  </si>
  <si>
    <t>Drop Down 19</t>
  </si>
  <si>
    <t>Drop Down 9</t>
  </si>
  <si>
    <t>Drop Down 20</t>
  </si>
  <si>
    <t>Drop Down 10</t>
  </si>
  <si>
    <t>Drop Down 21</t>
  </si>
  <si>
    <t>Drop Down 13</t>
  </si>
  <si>
    <t>Drop Down 22</t>
  </si>
  <si>
    <t>Count</t>
  </si>
  <si>
    <t>Stores Dropdowns</t>
  </si>
  <si>
    <t>AME Name</t>
  </si>
  <si>
    <t>2/8</t>
  </si>
  <si>
    <t>3/7</t>
  </si>
  <si>
    <t>4/6</t>
  </si>
  <si>
    <t>5</t>
  </si>
  <si>
    <t>Output Range</t>
  </si>
  <si>
    <t>A4</t>
  </si>
  <si>
    <t>F4</t>
  </si>
  <si>
    <t>K4</t>
  </si>
  <si>
    <t>P4</t>
  </si>
  <si>
    <t>Z4</t>
  </si>
  <si>
    <t>AJ4</t>
  </si>
  <si>
    <t>AO4</t>
  </si>
  <si>
    <t>AT4</t>
  </si>
  <si>
    <t>AY4</t>
  </si>
  <si>
    <t>J</t>
  </si>
  <si>
    <t>16S2800 PYLON ONLY</t>
  </si>
  <si>
    <t>AN/ASQ-213 HTS POD R7</t>
  </si>
  <si>
    <t>16S1150 PYLON ONLY</t>
  </si>
  <si>
    <t>LANTIRN TARGETING POD</t>
  </si>
  <si>
    <t>LITENING II POD (AN/AAQ-28)</t>
  </si>
  <si>
    <t>SNIPER ADVANCED TARGETING POD</t>
  </si>
  <si>
    <t>LITENING II POD</t>
  </si>
  <si>
    <t>SNIPER POD</t>
  </si>
  <si>
    <t>LANTIRN POD</t>
  </si>
  <si>
    <t>Graphical Manual</t>
  </si>
  <si>
    <t>5-Point Star 36</t>
  </si>
  <si>
    <t>5-Point Star 45</t>
  </si>
  <si>
    <t>5-Point Star 46</t>
  </si>
  <si>
    <t>5-Point Star 57</t>
  </si>
  <si>
    <t>5-Point Star 64</t>
  </si>
  <si>
    <t>5-Point Star 59</t>
  </si>
  <si>
    <t>5-Point Star 61</t>
  </si>
  <si>
    <t>5-Point Star 62</t>
  </si>
  <si>
    <t>5-Point Star 63</t>
  </si>
  <si>
    <t>TEST LOAD</t>
  </si>
  <si>
    <t>Chaff/Flare (Expendable)</t>
  </si>
  <si>
    <t>Chaff/Flare (Retained)</t>
  </si>
  <si>
    <t>Lateral Moment</t>
  </si>
  <si>
    <t>16S210</t>
  </si>
  <si>
    <t>LAU-129/A</t>
  </si>
  <si>
    <t>Seating</t>
  </si>
  <si>
    <t>Backseater</t>
  </si>
  <si>
    <t>Backseater Constants</t>
  </si>
  <si>
    <t>(A ✓ in Ref 5 &amp; 6 indicates the item is included in "Less Expendables")</t>
  </si>
  <si>
    <t>FIRST LEVEL STORE</t>
  </si>
  <si>
    <t>THIRD LEVEL STORE</t>
  </si>
  <si>
    <t>F503</t>
  </si>
  <si>
    <t>K503</t>
  </si>
  <si>
    <t>P503</t>
  </si>
  <si>
    <t>AJ503</t>
  </si>
  <si>
    <t>AO503</t>
  </si>
  <si>
    <t>AT503</t>
  </si>
  <si>
    <t>Drop Down 248</t>
  </si>
  <si>
    <t>Drop Down 244</t>
  </si>
  <si>
    <t>Drop Down 240</t>
  </si>
  <si>
    <t>3</t>
  </si>
  <si>
    <t>Drop Down 241</t>
  </si>
  <si>
    <t>Drop Down 245</t>
  </si>
  <si>
    <t>Drop Down 249</t>
  </si>
  <si>
    <t>NOSE WHEEL STEERING NORMAL at TAKEOFF</t>
  </si>
  <si>
    <t>FUEL LOADED at 6.8 LBS/GAL</t>
  </si>
  <si>
    <t>ESTIMATED LANDING FUEL: 1000 LBS (147 gallons)</t>
  </si>
  <si>
    <t>Rectangle 74</t>
  </si>
  <si>
    <t>Rectangle 75</t>
  </si>
  <si>
    <t>Rectangle 76</t>
  </si>
  <si>
    <t>Rectangle 78</t>
  </si>
  <si>
    <t>Rectangle 80</t>
  </si>
  <si>
    <t>Rectangle 79</t>
  </si>
  <si>
    <t>SNIPER ATP W/VDL</t>
  </si>
  <si>
    <t>SNIPER POD W/VDL</t>
  </si>
  <si>
    <t>Force Surface to Air?</t>
  </si>
  <si>
    <t>LAU-129/A LAUNCHER</t>
  </si>
  <si>
    <t>16S210 LAUNCHER</t>
  </si>
  <si>
    <t>16S350 EMPTY</t>
  </si>
  <si>
    <t>16S350 1 DECOY</t>
  </si>
  <si>
    <t>16S350 2 DECOYS</t>
  </si>
  <si>
    <t>16S301 ADAPTER</t>
  </si>
  <si>
    <t>16S301</t>
  </si>
  <si>
    <t>16S1700, 16E1608 CRIU</t>
  </si>
  <si>
    <t>W/P, CRIU</t>
  </si>
  <si>
    <t>16S1700, 16E10100 ACRIU</t>
  </si>
  <si>
    <t>W/P, ACRIU</t>
  </si>
  <si>
    <t>16S1700, 16E1640 NRIU</t>
  </si>
  <si>
    <t>W/P, NRIU</t>
  </si>
  <si>
    <t>16S1700, 16E10250 NRIU Rugged</t>
  </si>
  <si>
    <t>W/P, NRIU Rugged</t>
  </si>
  <si>
    <t>16S1700, 16E1608 &amp; 16E1640 RIUs</t>
  </si>
  <si>
    <t>W/P, 16E1608 &amp; 16E1640</t>
  </si>
  <si>
    <t>16S1700, 16E1608 &amp; 16E10250 RIUs</t>
  </si>
  <si>
    <t>W/P, 16E1608 &amp; 16E10250</t>
  </si>
  <si>
    <t>16S1700, 16E10100 &amp; 16E1640 RIUs</t>
  </si>
  <si>
    <t>W/P, 16E10100 &amp; 16E1640</t>
  </si>
  <si>
    <t>16S1700, 16E10100 &amp; 16E10250 RIUs</t>
  </si>
  <si>
    <t>W/P, 16E10100 &amp; 16E10250</t>
  </si>
  <si>
    <t>16S1700, 16E10250 Rugged NRIU</t>
  </si>
  <si>
    <t>W/P, Rugged NRIU</t>
  </si>
  <si>
    <t>16S1700, 16E1608 and 16E1640 RIUs</t>
  </si>
  <si>
    <t>16S1700, 16E1608 and 16E10250 RIUs</t>
  </si>
  <si>
    <t>16S1700, 16E10100 and 16E1640 RIUs</t>
  </si>
  <si>
    <t>16S1700, 16E10100 and 16E10250 RIUs</t>
  </si>
  <si>
    <t>16S401 FUEL PYLON (370-GAL.)</t>
  </si>
  <si>
    <t>FUEL PYLON (370 GAL)</t>
  </si>
  <si>
    <t>16S1300 FUEL PYLON (370-GAL.)</t>
  </si>
  <si>
    <t>16S1800 FUEL PYLON (600-GAL.)</t>
  </si>
  <si>
    <t>FUEL PYLON (600 GAL)</t>
  </si>
  <si>
    <t>PIVOT BALL &amp; MISC.</t>
  </si>
  <si>
    <t>16S951 UNIVERSAL PYLON W/16E1608 CRIU</t>
  </si>
  <si>
    <t>16S951, CRIU</t>
  </si>
  <si>
    <t>16S951 UNIVERSAL PYLON W/16E10100 ACRIU</t>
  </si>
  <si>
    <t>16S951, ACRIU</t>
  </si>
  <si>
    <t>16S951 UNIVERSAL PYLON (RIU removed)</t>
  </si>
  <si>
    <t>16S951, RIU REMOVED</t>
  </si>
  <si>
    <t>16S601 ECM ADAPTER</t>
  </si>
  <si>
    <t>NOSE TIRE: 16VL027-1 18 PLY at 300-310 psi (42300 lbs)</t>
  </si>
  <si>
    <t>GEAR RETRACTION: -214</t>
  </si>
  <si>
    <t>PIVOT BALL &amp; MISC. (STA 4)</t>
  </si>
  <si>
    <t>PIVOT BALL &amp; MISC. (STA 6)</t>
  </si>
  <si>
    <t>370 TANK/PYLON/UNUSABLE FUEL</t>
  </si>
  <si>
    <t>370 TANK/PYLON/UNUS</t>
  </si>
  <si>
    <t>370 TANK/PYLON/UNUS (STA 4)</t>
  </si>
  <si>
    <t>370 TANK/PYLON/UNUS (STA 6)</t>
  </si>
  <si>
    <t>W/P, ACRIU (STA 3)</t>
  </si>
  <si>
    <t>SUU-20A/A POD</t>
  </si>
  <si>
    <t>SUU-20A</t>
  </si>
  <si>
    <t>SUU-20B/A POD</t>
  </si>
  <si>
    <t>SUU-20B</t>
  </si>
  <si>
    <t>BRU-57/A</t>
  </si>
  <si>
    <t>AGM-154A (JSOW)</t>
  </si>
  <si>
    <t>GBU-31(V)1/B (JDAM)</t>
  </si>
  <si>
    <t>GBU-31</t>
  </si>
  <si>
    <t>GBU-31B(V)1/B (JDAM)</t>
  </si>
  <si>
    <t>GBU-31B</t>
  </si>
  <si>
    <t>GBU-31C(V)1/B (JDAM)</t>
  </si>
  <si>
    <t>GBU-31C</t>
  </si>
  <si>
    <t>GBU-31(V)3/B (JDAM)</t>
  </si>
  <si>
    <t>GBU-31(V)3</t>
  </si>
  <si>
    <t>GBU-31B(V)3/B (JDAM)</t>
  </si>
  <si>
    <t>GBU-31B(V)3</t>
  </si>
  <si>
    <t>GBU-31C(V)3/B (JDAM)</t>
  </si>
  <si>
    <t>GBU-31C(V)3</t>
  </si>
  <si>
    <t>GBU-38/B (JDAM)</t>
  </si>
  <si>
    <t>GBU-38</t>
  </si>
  <si>
    <t>GBU-38B/B (JDAM)</t>
  </si>
  <si>
    <t>GBU-38B</t>
  </si>
  <si>
    <t>GBU-38C/B (JDAM)</t>
  </si>
  <si>
    <t>GBU-38C</t>
  </si>
  <si>
    <t>GBU-38(V)4/B (LCBD-JDAM)</t>
  </si>
  <si>
    <t>GBU-38(V)4</t>
  </si>
  <si>
    <t>GBU-38(V)5/B, B(V)5/B, C(V)5/B (BLU-129)</t>
  </si>
  <si>
    <t>GBU-38(V)5</t>
  </si>
  <si>
    <t>GBU-38B(V)4/B (LCBD-JDAM)</t>
  </si>
  <si>
    <t>GBU-38B(V)4</t>
  </si>
  <si>
    <t>GBU-38C(V)4/B (LCBD-JDAM)</t>
  </si>
  <si>
    <t>GBU-38C(V)4</t>
  </si>
  <si>
    <t>GBU-51/B (LCBD-PW II)</t>
  </si>
  <si>
    <t>GBU-51</t>
  </si>
  <si>
    <t>GBU-54(V)5/B, B(V)5/B, C(V)5/B (BLU-129)</t>
  </si>
  <si>
    <t>GBU-54</t>
  </si>
  <si>
    <t>CBU-107/B (PAW) (WCMD)</t>
  </si>
  <si>
    <t>CBU-107</t>
  </si>
  <si>
    <t>CBU-105D/B (WCMD)</t>
  </si>
  <si>
    <t>CBU-105D</t>
  </si>
  <si>
    <t>CBU-105/B, A/B (WCMD)</t>
  </si>
  <si>
    <t>CBU-105</t>
  </si>
  <si>
    <t>CBU-104/B, A/B (WCMD)</t>
  </si>
  <si>
    <t>CBU-104</t>
  </si>
  <si>
    <t>CBU-103/B, A/B, B/B (WCMD)</t>
  </si>
  <si>
    <t>CBU-103</t>
  </si>
  <si>
    <t>CBU-97/B</t>
  </si>
  <si>
    <t>CBU-97</t>
  </si>
  <si>
    <t>CBU-89/B, A/B</t>
  </si>
  <si>
    <t>CBU-89</t>
  </si>
  <si>
    <t>CBU-87/B, A/B, B/B, C/B</t>
  </si>
  <si>
    <t>CBU-87</t>
  </si>
  <si>
    <t>M129E2</t>
  </si>
  <si>
    <t>PDU-5/B</t>
  </si>
  <si>
    <t>MK 82 LDGP</t>
  </si>
  <si>
    <t>MK 82 AIR</t>
  </si>
  <si>
    <t>MK 84</t>
  </si>
  <si>
    <t>BLU-107/B</t>
  </si>
  <si>
    <t>BLU-107</t>
  </si>
  <si>
    <t>BLU-109/B</t>
  </si>
  <si>
    <t>BLU-109</t>
  </si>
  <si>
    <t>GBU-10C/B, D/B, E/B, F/B</t>
  </si>
  <si>
    <t>GBU-10G/B, H/B, J/B</t>
  </si>
  <si>
    <t>GBU-12B/B, C/B, D/B, E/B</t>
  </si>
  <si>
    <t>GBU-12</t>
  </si>
  <si>
    <t>GBU-24A/B</t>
  </si>
  <si>
    <t>GBU-24A</t>
  </si>
  <si>
    <t>GBU-24/B</t>
  </si>
  <si>
    <t>GBU-24</t>
  </si>
  <si>
    <t>GBU-27A/B</t>
  </si>
  <si>
    <t>GBU-27A</t>
  </si>
  <si>
    <t>GBU-27/B</t>
  </si>
  <si>
    <t>GBU-27</t>
  </si>
  <si>
    <t>GBU-54(V)1/B (L-JDAM)</t>
  </si>
  <si>
    <t>GBU-54(V)1</t>
  </si>
  <si>
    <t>GBU-54B(V)1/B (L-JDAM)</t>
  </si>
  <si>
    <t>GBU-54B(V)1</t>
  </si>
  <si>
    <t>GBU-54C(V)1/B (L-JDAM)</t>
  </si>
  <si>
    <t>GBU-54C(V)1</t>
  </si>
  <si>
    <t>BDU-38</t>
  </si>
  <si>
    <t>B-61 MOD 3, 4, 10, CTU-1, CTU-2, and VFA</t>
  </si>
  <si>
    <t>B-61</t>
  </si>
  <si>
    <t>MINIATURE AIR LAUNCHED DECOY (MALD)</t>
  </si>
  <si>
    <t>MALD</t>
  </si>
  <si>
    <t>ALQ-131(V)-4 THRU -6 (DEEP W/O RECEIVER PROCESSOR)</t>
  </si>
  <si>
    <t>ALQ-131(V)-4 THRU -6</t>
  </si>
  <si>
    <t>ALQ-131(V)-12 (DEEP, BLOCK II W/O RECEIVER PROCESSOR)</t>
  </si>
  <si>
    <t>ALQ-131(V)-12</t>
  </si>
  <si>
    <t>ALQ-131(V)-13 (SHALLOW, BLOCK II W/O RECEIVER PROCESSOR)</t>
  </si>
  <si>
    <t>ALQ-131(V)-13</t>
  </si>
  <si>
    <t>ALQ-131(V)-14 (DEEP, BLOCK II WITH RECEIVER PROCESSOR)</t>
  </si>
  <si>
    <t>ALQ-131(V)-14</t>
  </si>
  <si>
    <t>ALQ-131(V)-15 (SHALLOW, BLOCK II WITH RECEIVER PROCESSOR)</t>
  </si>
  <si>
    <t>ALQ-131(V)-15</t>
  </si>
  <si>
    <t>ALQ-184(V)-7</t>
  </si>
  <si>
    <t>ALQ-184(V)-8</t>
  </si>
  <si>
    <t>ALQ-184(V)-11</t>
  </si>
  <si>
    <t>ALQ-184(V)-12</t>
  </si>
  <si>
    <t>ALQ-184(V)-14</t>
  </si>
  <si>
    <t>ALQ-188(V)</t>
  </si>
  <si>
    <t>ALQ-188(V)-7, -8, -9, -10</t>
  </si>
  <si>
    <t>ALQ-188(V)-13, -14</t>
  </si>
  <si>
    <t>ALQ-188(V)-17, -18</t>
  </si>
  <si>
    <t>ALQ-188(V)1-100</t>
  </si>
  <si>
    <t>ALQ-188(V)1-101, -102</t>
  </si>
  <si>
    <t>ALQ-188(V)2-200, -201</t>
  </si>
  <si>
    <t>ALQ-188(V)3-300, -301</t>
  </si>
  <si>
    <t>ATM-154A (JSOW)</t>
  </si>
  <si>
    <t>ATM-154A</t>
  </si>
  <si>
    <t>ATM-154B (JSOW)</t>
  </si>
  <si>
    <t>ATM-154B</t>
  </si>
  <si>
    <t>BDU-50A/B, /B</t>
  </si>
  <si>
    <t>BDU-50</t>
  </si>
  <si>
    <t>BDU-56/B</t>
  </si>
  <si>
    <t>BDU-56</t>
  </si>
  <si>
    <t>LAU-88/A LAUNCHER</t>
  </si>
  <si>
    <t>LAU-88/A</t>
  </si>
  <si>
    <t>LAU-88A/A LAUNCHER</t>
  </si>
  <si>
    <t>LAU-88A/A</t>
  </si>
  <si>
    <t>LAU-117/A, A(V)1/A, A(V)3/A</t>
  </si>
  <si>
    <t>LAU-117/A</t>
  </si>
  <si>
    <t>LAU-118(V)4/A, A(V)4/A</t>
  </si>
  <si>
    <t>LAU-118</t>
  </si>
  <si>
    <t>66J45517 TER-9/A</t>
  </si>
  <si>
    <t>TER-9/A</t>
  </si>
  <si>
    <t>66J45517 TER-9/A W/SWAY BRACES</t>
  </si>
  <si>
    <t>16S1750 TER</t>
  </si>
  <si>
    <t>TER</t>
  </si>
  <si>
    <t>16S1750 TER W/SWAY BRACES</t>
  </si>
  <si>
    <t>LAU-3/A, B/A, C/A, D/A POD</t>
  </si>
  <si>
    <t>LAU-3</t>
  </si>
  <si>
    <t>W/P, ACRIU (STA 7)</t>
  </si>
  <si>
    <t>LAU-129/A (STA 1)</t>
  </si>
  <si>
    <t>CATM-120D</t>
  </si>
  <si>
    <t>AIM-9P OR -9P-1</t>
  </si>
  <si>
    <t>AIM-9P-2, -9P-3, OR -9P-4</t>
  </si>
  <si>
    <t>AIM-9L OR -9M</t>
  </si>
  <si>
    <t>AIM-9X</t>
  </si>
  <si>
    <t>AIM-120A</t>
  </si>
  <si>
    <t>AIM-120B</t>
  </si>
  <si>
    <t>AIM-120C</t>
  </si>
  <si>
    <t>AIM-120C-5 OR C-6</t>
  </si>
  <si>
    <t>AIM-120C-7</t>
  </si>
  <si>
    <t>AIM-9 (INERT)</t>
  </si>
  <si>
    <t>CATM-120A, B</t>
  </si>
  <si>
    <t>CATM-120C (101)</t>
  </si>
  <si>
    <t>AIM-9L AMD</t>
  </si>
  <si>
    <t>AIM-9P AMD</t>
  </si>
  <si>
    <t>AIS OR ACMI POD</t>
  </si>
  <si>
    <t>AN/ARQ-52(V)-2, 3, 4</t>
  </si>
  <si>
    <t>AN/ARQ-52B(V)-2</t>
  </si>
  <si>
    <t>AN/ARQ-52B(V)-17</t>
  </si>
  <si>
    <t>GRDCS II SHOOTER POD</t>
  </si>
  <si>
    <t>LAU-129/A (STA 9)</t>
  </si>
  <si>
    <t>F-16D</t>
  </si>
  <si>
    <t>F-16C</t>
  </si>
  <si>
    <t>F-16CM</t>
  </si>
  <si>
    <t>F-16DM</t>
  </si>
  <si>
    <t>Ramp Weight - Fuel</t>
  </si>
  <si>
    <t>Ramp Moment - Fuel</t>
  </si>
  <si>
    <t>Most Fwd C</t>
  </si>
  <si>
    <t>Most Aft C</t>
  </si>
  <si>
    <t>Most Fwd D</t>
  </si>
  <si>
    <t>Most Aft D</t>
  </si>
  <si>
    <t>Most Fwd CM</t>
  </si>
  <si>
    <t>Most Aft CM</t>
  </si>
  <si>
    <t>Most Fwd DM</t>
  </si>
  <si>
    <t>Most Aft DM</t>
  </si>
  <si>
    <t>Fuel_Weight</t>
  </si>
  <si>
    <t>Fuel_Mom</t>
  </si>
  <si>
    <t>Fuel Moment</t>
  </si>
  <si>
    <t>16S301 ADAPTER (STA 2)</t>
  </si>
  <si>
    <t>LAU-129/A (STA 2)</t>
  </si>
  <si>
    <t>CATM-9X</t>
  </si>
  <si>
    <t>AIM-120C-5 OR -6</t>
  </si>
  <si>
    <t>AN/ARQ-52(V)-2, -3, -4</t>
  </si>
  <si>
    <t>AN/ARQ-52(V)-7</t>
  </si>
  <si>
    <t>16S301 (STA 8)</t>
  </si>
  <si>
    <t>LAU-129/A (STA 8)</t>
  </si>
  <si>
    <t>AIM-9L OR -9M (STA 8)</t>
  </si>
  <si>
    <t>Most Fwd Fuel Weight &gt; Int Fuel?</t>
  </si>
  <si>
    <t>Most Aft Fuel Weight &gt; Int Fuel?</t>
  </si>
  <si>
    <t>Punched 4 or 6 Tanks?</t>
  </si>
  <si>
    <t>Cat Lookup  at Landing?</t>
  </si>
  <si>
    <t>Cat Lookup  at Most Fwd?</t>
  </si>
  <si>
    <t>Cat Lookup  at Most Aft?</t>
  </si>
  <si>
    <t>16S951, RIU REMOVED (STA 5)</t>
  </si>
  <si>
    <t>NOSE WHEEL STEERING NORMAL at LANDING</t>
  </si>
  <si>
    <t>300 GAL FUEL TANK</t>
  </si>
  <si>
    <t>300 GAL FUEL TANK (STA 5)</t>
  </si>
  <si>
    <t>AIM-9L OR -9M (STA 2)</t>
  </si>
  <si>
    <t>AIM-9L OR -9M (STA 1)</t>
  </si>
  <si>
    <t>AIM-9L OR -9M (STA 9)</t>
  </si>
  <si>
    <t>LANTIRN POD (STA 5R)</t>
  </si>
  <si>
    <t>NOSE WHEEL STEERING NORMAL at MOST AFT</t>
  </si>
  <si>
    <t>INLET PODS: ONE</t>
  </si>
  <si>
    <t>TER-9/A (STA 3)</t>
  </si>
  <si>
    <t>LAU-68A/A, B/A POD CENTER</t>
  </si>
  <si>
    <t>LAU-68A/A, B/A POD OUTBOARD</t>
  </si>
  <si>
    <t>LAU-3/A, B/A, C/A, D/A PODS CENTER &amp; OUTBOARD</t>
  </si>
  <si>
    <t>2 X LAU-3/A</t>
  </si>
  <si>
    <t>LAU-118A(V)4/A LAUNCHER INBOARD</t>
  </si>
  <si>
    <t>LAU-118A</t>
  </si>
  <si>
    <t>LAU-118A(V)4/A LAUNCHER OUTBOARD</t>
  </si>
  <si>
    <t>LAU-131/A POD CENTER</t>
  </si>
  <si>
    <t>LAU-131</t>
  </si>
  <si>
    <t>LAU-131/A POD OUTBOARD</t>
  </si>
  <si>
    <t>LAU-68A/A, B/A POD CENTER &amp; OUTBOARD</t>
  </si>
  <si>
    <t>2 X LAU-68A</t>
  </si>
  <si>
    <t>LAU-118A(V)4/A LAUNCHER INBOARD &amp; OUTBOARD</t>
  </si>
  <si>
    <t>2 X LAU-118A</t>
  </si>
  <si>
    <t>LAU-131/A POD CENTER &amp; OUTBOARD</t>
  </si>
  <si>
    <t>2 X LAU-131/A</t>
  </si>
  <si>
    <t>GBU-12B/B, C/B, D/B, E/B CENTER</t>
  </si>
  <si>
    <t>GBU-12B/B, C/B, D/B, E/B OUTBOARD</t>
  </si>
  <si>
    <t>GBU-51/B (LCBD-PW II) CENTER</t>
  </si>
  <si>
    <t>GBU-51/B (LCBD-PW II) OUTBOARD</t>
  </si>
  <si>
    <t>CBU-87/B, A/B, B/B, C/B CENTER</t>
  </si>
  <si>
    <t>CBU-87/B, A/B, B/B, C/B OUTBOARD</t>
  </si>
  <si>
    <t>CBU-89/B, A/B CENTER</t>
  </si>
  <si>
    <t>CBU-89/B, A/B OUTBOARD</t>
  </si>
  <si>
    <t>CBU-97/B CENTER</t>
  </si>
  <si>
    <t>CBU-97/B OUTBOARD</t>
  </si>
  <si>
    <t>CBU-87/B, A/B, B/B, C/B CENTER &amp; OUTBOARD</t>
  </si>
  <si>
    <t>CBU-89/B, A/B CENTER &amp; OUTBOARD</t>
  </si>
  <si>
    <t>CBU-97/B CENTER &amp; OUTBOARD</t>
  </si>
  <si>
    <t>MK 82 AIR INBOARD</t>
  </si>
  <si>
    <t>MK 82 AIR CENTER</t>
  </si>
  <si>
    <t>MK 82 AIR OUTBOARD</t>
  </si>
  <si>
    <t>MK 82 LDGP (OR BDU-50/B) INBOARD &amp; CENTER</t>
  </si>
  <si>
    <t>2 x MK 82 LDGP</t>
  </si>
  <si>
    <t>MK 82 LDGP (OR BDU-50/B) INBOARD &amp; OUTBOARD</t>
  </si>
  <si>
    <t>MK 82 LDGP (OR BDU-50/B) CENTER &amp; OUTBOARD</t>
  </si>
  <si>
    <t>MK 82 LDGP (OR BDU-50/B) ALL STATIONS</t>
  </si>
  <si>
    <t>MK 82 AIR INBOARD &amp; CENTER</t>
  </si>
  <si>
    <t>2 x MK 82 AIR</t>
  </si>
  <si>
    <t>MK 82 AIR INBOARD &amp; OUTBOARD</t>
  </si>
  <si>
    <t>MK 82 AIR CENTER &amp; OUTBOARD</t>
  </si>
  <si>
    <t>MK 82 AIR ALL STATIONS</t>
  </si>
  <si>
    <t>3 x MK 82 AIR</t>
  </si>
  <si>
    <t>MK 82 LDGP (OR BDU-50/B) INBOARD</t>
  </si>
  <si>
    <t>MK 82 LDGP (OR BDU-50/B) CENTER</t>
  </si>
  <si>
    <t>MK 82 LDGP (OR BDU-50/B) OUTBOARD</t>
  </si>
  <si>
    <t>BLU-107/B INBOARD</t>
  </si>
  <si>
    <t>BLU-107/B CENTER</t>
  </si>
  <si>
    <t>BLU-107/B OUTBOARD</t>
  </si>
  <si>
    <t>BLU-107/B INBOARD &amp; CENTER</t>
  </si>
  <si>
    <t>2 x BLU-107</t>
  </si>
  <si>
    <t>BLU-107/B INBOARD &amp; OUTBOARD</t>
  </si>
  <si>
    <t>BLU-107/B CENTER &amp; OUTBOARD</t>
  </si>
  <si>
    <t>BLU-107/B ALL STATIONS</t>
  </si>
  <si>
    <t>3 x BLU-107</t>
  </si>
  <si>
    <t>GBU-12B/B, C/B, D/B, E/B CENTER &amp; OUTBOARD</t>
  </si>
  <si>
    <t>2 x GBU-12</t>
  </si>
  <si>
    <t>GBU-51/B (LCBD-PW II) CENTER &amp; OUTBOARD</t>
  </si>
  <si>
    <t>2 x GBU-51</t>
  </si>
  <si>
    <t>BDU-33B/B OR -33D/B</t>
  </si>
  <si>
    <t>3 x BDU-33</t>
  </si>
  <si>
    <t>BDU-50A/B, /B INBOARD</t>
  </si>
  <si>
    <t>BDU-50A/B, /B CENTER</t>
  </si>
  <si>
    <t>BDU-50A/B, /B OUTBOARD</t>
  </si>
  <si>
    <t>BDU-50A/B, /B INBOARD &amp; CENTER</t>
  </si>
  <si>
    <t>2 x BDU-50</t>
  </si>
  <si>
    <t>BDU-50A/B, /B INBOARD &amp; OUTBOARD</t>
  </si>
  <si>
    <t>BDU-50A/B, /B CENTER &amp; OUTBOARD</t>
  </si>
  <si>
    <t>BDU-50A/B, /B ALL STATIONS</t>
  </si>
  <si>
    <t>3 x BDU-50</t>
  </si>
  <si>
    <t>LAU-3/A, B/A, C/A, D/A POD CENTER</t>
  </si>
  <si>
    <t>LAU-3/A, B/A, C/A, D/A POD OUTBOARD</t>
  </si>
  <si>
    <t>TER-9/A (STA 7)</t>
  </si>
  <si>
    <t>3 x BDU-50 (STA 3)</t>
  </si>
  <si>
    <t>3 x BDU-50 (STA 7)</t>
  </si>
  <si>
    <t>0011100</t>
  </si>
  <si>
    <t>19713</t>
  </si>
  <si>
    <t>63994</t>
  </si>
  <si>
    <t>CATEGORY III LOADING at TAKEOFF</t>
  </si>
  <si>
    <t>CATEGORY III LOADING at LANDING</t>
  </si>
  <si>
    <t>CATEGORY III LOADING at MOST AFT</t>
  </si>
  <si>
    <t>Air-to-Surface</t>
  </si>
  <si>
    <t>Air-To-Surface Mom Arm for 3 Tanks</t>
  </si>
  <si>
    <t>1101011</t>
  </si>
</sst>
</file>

<file path=xl/styles.xml><?xml version="1.0" encoding="utf-8"?>
<styleSheet xmlns="http://schemas.openxmlformats.org/spreadsheetml/2006/main">
  <numFmts count="4">
    <numFmt numFmtId="164" formatCode="0.0%"/>
    <numFmt numFmtId="165" formatCode="yyyy/mm/dd"/>
    <numFmt numFmtId="166" formatCode="0.0"/>
    <numFmt numFmtId="167" formatCode="0.0000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2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5"/>
      <color theme="1"/>
      <name val="Calibri"/>
      <family val="2"/>
      <scheme val="minor"/>
    </font>
    <font>
      <sz val="7"/>
      <color theme="1"/>
      <name val="Arial"/>
      <family val="2"/>
    </font>
    <font>
      <sz val="8"/>
      <name val="Tahoma"/>
      <family val="2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0"/>
      <name val="Calibri"/>
      <family val="2"/>
      <scheme val="minor"/>
    </font>
    <font>
      <sz val="5"/>
      <color theme="1"/>
      <name val="Calibri"/>
      <family val="2"/>
      <scheme val="minor"/>
    </font>
    <font>
      <sz val="6"/>
      <color rgb="FF00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3F3F76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7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16" fillId="0" borderId="0" applyFont="0" applyFill="0" applyBorder="0" applyAlignment="0" applyProtection="0"/>
    <xf numFmtId="0" fontId="23" fillId="5" borderId="49" applyNumberFormat="0" applyAlignment="0" applyProtection="0"/>
    <xf numFmtId="0" fontId="24" fillId="0" borderId="0" applyNumberFormat="0" applyFill="0" applyBorder="0" applyAlignment="0" applyProtection="0"/>
    <xf numFmtId="0" fontId="25" fillId="6" borderId="50" applyNumberFormat="0" applyAlignment="0" applyProtection="0"/>
  </cellStyleXfs>
  <cellXfs count="533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 applyAlignment="1">
      <alignment horizontal="right"/>
    </xf>
    <xf numFmtId="0" fontId="0" fillId="0" borderId="10" xfId="0" applyBorder="1"/>
    <xf numFmtId="49" fontId="0" fillId="0" borderId="0" xfId="0" applyNumberFormat="1" applyBorder="1" applyAlignment="1">
      <alignment horizontal="righ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3" fillId="0" borderId="0" xfId="0" applyFont="1" applyBorder="1"/>
    <xf numFmtId="0" fontId="3" fillId="0" borderId="0" xfId="0" applyFont="1"/>
    <xf numFmtId="0" fontId="3" fillId="0" borderId="15" xfId="0" applyFont="1" applyBorder="1" applyAlignment="1">
      <alignment horizontal="left" vertical="center"/>
    </xf>
    <xf numFmtId="0" fontId="0" fillId="0" borderId="14" xfId="0" applyBorder="1"/>
    <xf numFmtId="0" fontId="5" fillId="0" borderId="1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/>
    <xf numFmtId="0" fontId="7" fillId="0" borderId="14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left" vertical="center"/>
    </xf>
    <xf numFmtId="0" fontId="3" fillId="0" borderId="14" xfId="0" applyFont="1" applyBorder="1" applyAlignment="1">
      <alignment horizontal="right" vertical="center"/>
    </xf>
    <xf numFmtId="0" fontId="3" fillId="0" borderId="2" xfId="0" applyFont="1" applyBorder="1"/>
    <xf numFmtId="0" fontId="0" fillId="0" borderId="14" xfId="0" applyBorder="1" applyAlignment="1">
      <alignment horizontal="right" vertical="center"/>
    </xf>
    <xf numFmtId="0" fontId="3" fillId="0" borderId="15" xfId="0" applyFont="1" applyBorder="1"/>
    <xf numFmtId="0" fontId="5" fillId="0" borderId="3" xfId="0" applyFont="1" applyBorder="1" applyAlignment="1">
      <alignment horizontal="center" vertical="center"/>
    </xf>
    <xf numFmtId="0" fontId="3" fillId="0" borderId="8" xfId="0" applyFont="1" applyBorder="1"/>
    <xf numFmtId="0" fontId="3" fillId="0" borderId="13" xfId="0" applyFont="1" applyBorder="1"/>
    <xf numFmtId="0" fontId="5" fillId="0" borderId="11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3" fillId="0" borderId="1" xfId="0" applyFont="1" applyBorder="1"/>
    <xf numFmtId="0" fontId="5" fillId="0" borderId="8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0" fillId="4" borderId="14" xfId="0" applyFill="1" applyBorder="1"/>
    <xf numFmtId="0" fontId="3" fillId="4" borderId="14" xfId="0" applyFont="1" applyFill="1" applyBorder="1"/>
    <xf numFmtId="0" fontId="3" fillId="4" borderId="22" xfId="0" applyFont="1" applyFill="1" applyBorder="1"/>
    <xf numFmtId="0" fontId="0" fillId="0" borderId="26" xfId="0" applyBorder="1"/>
    <xf numFmtId="0" fontId="0" fillId="0" borderId="27" xfId="0" applyBorder="1"/>
    <xf numFmtId="0" fontId="5" fillId="2" borderId="27" xfId="0" applyFont="1" applyFill="1" applyBorder="1" applyAlignment="1">
      <alignment wrapText="1"/>
    </xf>
    <xf numFmtId="0" fontId="5" fillId="2" borderId="28" xfId="0" applyFont="1" applyFill="1" applyBorder="1" applyAlignment="1">
      <alignment wrapText="1"/>
    </xf>
    <xf numFmtId="0" fontId="5" fillId="2" borderId="26" xfId="0" applyFont="1" applyFill="1" applyBorder="1" applyAlignment="1">
      <alignment wrapText="1"/>
    </xf>
    <xf numFmtId="0" fontId="5" fillId="2" borderId="14" xfId="0" applyFont="1" applyFill="1" applyBorder="1" applyAlignment="1">
      <alignment wrapText="1"/>
    </xf>
    <xf numFmtId="0" fontId="5" fillId="2" borderId="23" xfId="0" applyFont="1" applyFill="1" applyBorder="1" applyAlignment="1">
      <alignment wrapText="1"/>
    </xf>
    <xf numFmtId="0" fontId="5" fillId="0" borderId="0" xfId="0" applyFont="1" applyAlignment="1">
      <alignment wrapText="1"/>
    </xf>
    <xf numFmtId="0" fontId="3" fillId="3" borderId="22" xfId="0" applyFont="1" applyFill="1" applyBorder="1"/>
    <xf numFmtId="0" fontId="3" fillId="3" borderId="14" xfId="0" applyFont="1" applyFill="1" applyBorder="1"/>
    <xf numFmtId="0" fontId="3" fillId="3" borderId="23" xfId="0" applyFont="1" applyFill="1" applyBorder="1"/>
    <xf numFmtId="0" fontId="3" fillId="4" borderId="23" xfId="0" applyFont="1" applyFill="1" applyBorder="1"/>
    <xf numFmtId="49" fontId="13" fillId="4" borderId="22" xfId="0" applyNumberFormat="1" applyFont="1" applyFill="1" applyBorder="1"/>
    <xf numFmtId="49" fontId="13" fillId="4" borderId="24" xfId="0" applyNumberFormat="1" applyFont="1" applyFill="1" applyBorder="1"/>
    <xf numFmtId="0" fontId="13" fillId="4" borderId="5" xfId="0" applyFont="1" applyFill="1" applyBorder="1"/>
    <xf numFmtId="0" fontId="3" fillId="0" borderId="2" xfId="0" applyFont="1" applyBorder="1" applyAlignment="1">
      <alignment horizontal="right" vertical="center"/>
    </xf>
    <xf numFmtId="0" fontId="5" fillId="0" borderId="15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3" fillId="0" borderId="24" xfId="0" applyFont="1" applyBorder="1" applyAlignment="1">
      <alignment horizontal="center" wrapText="1"/>
    </xf>
    <xf numFmtId="0" fontId="3" fillId="0" borderId="25" xfId="0" applyFont="1" applyBorder="1" applyAlignment="1">
      <alignment horizontal="center" wrapText="1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horizontal="right" vertical="center"/>
    </xf>
    <xf numFmtId="0" fontId="3" fillId="0" borderId="2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164" fontId="3" fillId="0" borderId="15" xfId="1" applyNumberFormat="1" applyFont="1" applyBorder="1" applyAlignment="1">
      <alignment vertical="center"/>
    </xf>
    <xf numFmtId="164" fontId="3" fillId="0" borderId="1" xfId="1" applyNumberFormat="1" applyFont="1" applyBorder="1" applyAlignment="1">
      <alignment horizontal="right" vertical="center"/>
    </xf>
    <xf numFmtId="0" fontId="5" fillId="0" borderId="1" xfId="0" applyFont="1" applyBorder="1" applyAlignment="1" applyProtection="1">
      <alignment horizontal="fill" vertical="center"/>
      <protection locked="0"/>
    </xf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1" xfId="1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3" fillId="0" borderId="23" xfId="0" applyFont="1" applyFill="1" applyBorder="1" applyAlignment="1">
      <alignment horizontal="center" wrapText="1"/>
    </xf>
    <xf numFmtId="0" fontId="13" fillId="4" borderId="20" xfId="0" applyFont="1" applyFill="1" applyBorder="1"/>
    <xf numFmtId="0" fontId="3" fillId="0" borderId="22" xfId="0" applyFont="1" applyBorder="1"/>
    <xf numFmtId="0" fontId="0" fillId="4" borderId="23" xfId="0" applyFill="1" applyBorder="1"/>
    <xf numFmtId="0" fontId="5" fillId="2" borderId="37" xfId="0" applyFont="1" applyFill="1" applyBorder="1" applyAlignment="1">
      <alignment wrapText="1"/>
    </xf>
    <xf numFmtId="0" fontId="15" fillId="2" borderId="26" xfId="0" applyFont="1" applyFill="1" applyBorder="1"/>
    <xf numFmtId="0" fontId="15" fillId="2" borderId="27" xfId="0" applyFont="1" applyFill="1" applyBorder="1" applyAlignment="1">
      <alignment wrapText="1"/>
    </xf>
    <xf numFmtId="49" fontId="15" fillId="2" borderId="27" xfId="0" applyNumberFormat="1" applyFont="1" applyFill="1" applyBorder="1" applyAlignment="1">
      <alignment wrapText="1"/>
    </xf>
    <xf numFmtId="0" fontId="13" fillId="4" borderId="16" xfId="0" applyFont="1" applyFill="1" applyBorder="1"/>
    <xf numFmtId="0" fontId="13" fillId="4" borderId="17" xfId="0" applyFont="1" applyFill="1" applyBorder="1"/>
    <xf numFmtId="0" fontId="13" fillId="4" borderId="18" xfId="0" applyFont="1" applyFill="1" applyBorder="1"/>
    <xf numFmtId="0" fontId="15" fillId="2" borderId="27" xfId="0" applyFont="1" applyFill="1" applyBorder="1"/>
    <xf numFmtId="0" fontId="5" fillId="2" borderId="34" xfId="0" applyFont="1" applyFill="1" applyBorder="1" applyAlignment="1">
      <alignment wrapText="1"/>
    </xf>
    <xf numFmtId="0" fontId="5" fillId="2" borderId="32" xfId="0" applyFont="1" applyFill="1" applyBorder="1" applyAlignment="1">
      <alignment wrapText="1"/>
    </xf>
    <xf numFmtId="0" fontId="5" fillId="2" borderId="33" xfId="0" applyFont="1" applyFill="1" applyBorder="1" applyAlignment="1">
      <alignment wrapText="1"/>
    </xf>
    <xf numFmtId="0" fontId="3" fillId="4" borderId="16" xfId="0" applyFont="1" applyFill="1" applyBorder="1"/>
    <xf numFmtId="0" fontId="3" fillId="4" borderId="17" xfId="0" applyFont="1" applyFill="1" applyBorder="1"/>
    <xf numFmtId="0" fontId="3" fillId="4" borderId="18" xfId="0" applyFont="1" applyFill="1" applyBorder="1"/>
    <xf numFmtId="0" fontId="3" fillId="4" borderId="19" xfId="0" applyFont="1" applyFill="1" applyBorder="1"/>
    <xf numFmtId="0" fontId="3" fillId="4" borderId="20" xfId="0" applyFont="1" applyFill="1" applyBorder="1"/>
    <xf numFmtId="0" fontId="3" fillId="4" borderId="21" xfId="0" applyFont="1" applyFill="1" applyBorder="1"/>
    <xf numFmtId="0" fontId="3" fillId="4" borderId="24" xfId="0" applyFont="1" applyFill="1" applyBorder="1"/>
    <xf numFmtId="0" fontId="3" fillId="4" borderId="5" xfId="0" applyFont="1" applyFill="1" applyBorder="1"/>
    <xf numFmtId="0" fontId="3" fillId="4" borderId="25" xfId="0" applyFont="1" applyFill="1" applyBorder="1"/>
    <xf numFmtId="0" fontId="5" fillId="0" borderId="34" xfId="0" applyFont="1" applyFill="1" applyBorder="1" applyAlignment="1">
      <alignment horizontal="center" wrapText="1"/>
    </xf>
    <xf numFmtId="0" fontId="5" fillId="0" borderId="32" xfId="0" applyFont="1" applyFill="1" applyBorder="1" applyAlignment="1">
      <alignment horizontal="center" wrapText="1"/>
    </xf>
    <xf numFmtId="0" fontId="5" fillId="0" borderId="33" xfId="0" applyFont="1" applyFill="1" applyBorder="1" applyAlignment="1">
      <alignment horizontal="center" wrapText="1"/>
    </xf>
    <xf numFmtId="0" fontId="13" fillId="0" borderId="19" xfId="0" applyFont="1" applyBorder="1"/>
    <xf numFmtId="0" fontId="13" fillId="0" borderId="20" xfId="0" applyFont="1" applyBorder="1"/>
    <xf numFmtId="0" fontId="13" fillId="0" borderId="21" xfId="0" applyFont="1" applyBorder="1"/>
    <xf numFmtId="0" fontId="18" fillId="4" borderId="24" xfId="0" applyFont="1" applyFill="1" applyBorder="1"/>
    <xf numFmtId="0" fontId="18" fillId="4" borderId="5" xfId="0" applyFont="1" applyFill="1" applyBorder="1"/>
    <xf numFmtId="0" fontId="18" fillId="4" borderId="25" xfId="0" applyFont="1" applyFill="1" applyBorder="1"/>
    <xf numFmtId="0" fontId="3" fillId="0" borderId="0" xfId="0" applyFont="1" applyAlignment="1">
      <alignment wrapText="1"/>
    </xf>
    <xf numFmtId="164" fontId="3" fillId="4" borderId="5" xfId="1" applyNumberFormat="1" applyFont="1" applyFill="1" applyBorder="1"/>
    <xf numFmtId="164" fontId="3" fillId="4" borderId="25" xfId="1" applyNumberFormat="1" applyFont="1" applyFill="1" applyBorder="1"/>
    <xf numFmtId="49" fontId="3" fillId="4" borderId="14" xfId="0" applyNumberFormat="1" applyFont="1" applyFill="1" applyBorder="1"/>
    <xf numFmtId="49" fontId="5" fillId="2" borderId="26" xfId="0" applyNumberFormat="1" applyFont="1" applyFill="1" applyBorder="1" applyAlignment="1">
      <alignment wrapText="1"/>
    </xf>
    <xf numFmtId="49" fontId="5" fillId="2" borderId="28" xfId="0" applyNumberFormat="1" applyFont="1" applyFill="1" applyBorder="1" applyAlignment="1">
      <alignment wrapText="1"/>
    </xf>
    <xf numFmtId="49" fontId="3" fillId="4" borderId="22" xfId="0" applyNumberFormat="1" applyFont="1" applyFill="1" applyBorder="1"/>
    <xf numFmtId="0" fontId="3" fillId="4" borderId="19" xfId="0" applyFont="1" applyFill="1" applyBorder="1" applyAlignment="1">
      <alignment horizontal="center"/>
    </xf>
    <xf numFmtId="0" fontId="3" fillId="4" borderId="21" xfId="0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5" fillId="0" borderId="14" xfId="0" applyNumberFormat="1" applyFont="1" applyBorder="1" applyAlignment="1">
      <alignment horizontal="right" vertical="center"/>
    </xf>
    <xf numFmtId="0" fontId="20" fillId="2" borderId="0" xfId="0" applyNumberFormat="1" applyFont="1" applyFill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0" fillId="0" borderId="42" xfId="0" applyBorder="1"/>
    <xf numFmtId="0" fontId="0" fillId="0" borderId="43" xfId="0" applyBorder="1"/>
    <xf numFmtId="1" fontId="3" fillId="0" borderId="14" xfId="0" applyNumberFormat="1" applyFont="1" applyBorder="1" applyAlignment="1">
      <alignment vertical="center"/>
    </xf>
    <xf numFmtId="49" fontId="0" fillId="0" borderId="0" xfId="0" applyNumberFormat="1"/>
    <xf numFmtId="0" fontId="3" fillId="4" borderId="26" xfId="0" applyFont="1" applyFill="1" applyBorder="1"/>
    <xf numFmtId="0" fontId="3" fillId="4" borderId="27" xfId="0" applyFont="1" applyFill="1" applyBorder="1"/>
    <xf numFmtId="0" fontId="3" fillId="4" borderId="28" xfId="0" applyFont="1" applyFill="1" applyBorder="1"/>
    <xf numFmtId="49" fontId="3" fillId="4" borderId="16" xfId="0" applyNumberFormat="1" applyFont="1" applyFill="1" applyBorder="1"/>
    <xf numFmtId="49" fontId="3" fillId="4" borderId="19" xfId="0" applyNumberFormat="1" applyFont="1" applyFill="1" applyBorder="1"/>
    <xf numFmtId="3" fontId="0" fillId="0" borderId="0" xfId="0" applyNumberFormat="1"/>
    <xf numFmtId="0" fontId="3" fillId="4" borderId="14" xfId="0" applyNumberFormat="1" applyFont="1" applyFill="1" applyBorder="1"/>
    <xf numFmtId="0" fontId="3" fillId="4" borderId="5" xfId="0" applyNumberFormat="1" applyFont="1" applyFill="1" applyBorder="1"/>
    <xf numFmtId="49" fontId="5" fillId="2" borderId="27" xfId="0" applyNumberFormat="1" applyFont="1" applyFill="1" applyBorder="1" applyAlignment="1">
      <alignment wrapText="1"/>
    </xf>
    <xf numFmtId="3" fontId="3" fillId="4" borderId="44" xfId="0" applyNumberFormat="1" applyFont="1" applyFill="1" applyBorder="1"/>
    <xf numFmtId="0" fontId="3" fillId="4" borderId="0" xfId="0" applyFont="1" applyFill="1" applyBorder="1"/>
    <xf numFmtId="0" fontId="3" fillId="4" borderId="45" xfId="0" applyFont="1" applyFill="1" applyBorder="1"/>
    <xf numFmtId="10" fontId="3" fillId="4" borderId="0" xfId="0" applyNumberFormat="1" applyFont="1" applyFill="1" applyBorder="1"/>
    <xf numFmtId="0" fontId="3" fillId="4" borderId="44" xfId="0" applyFont="1" applyFill="1" applyBorder="1"/>
    <xf numFmtId="0" fontId="3" fillId="2" borderId="29" xfId="0" applyFont="1" applyFill="1" applyBorder="1" applyAlignment="1">
      <alignment wrapText="1"/>
    </xf>
    <xf numFmtId="0" fontId="3" fillId="2" borderId="3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10" fontId="3" fillId="4" borderId="45" xfId="1" applyNumberFormat="1" applyFont="1" applyFill="1" applyBorder="1"/>
    <xf numFmtId="10" fontId="3" fillId="4" borderId="0" xfId="0" applyNumberFormat="1" applyFont="1" applyFill="1"/>
    <xf numFmtId="0" fontId="5" fillId="0" borderId="26" xfId="0" applyFont="1" applyBorder="1" applyAlignment="1">
      <alignment wrapText="1"/>
    </xf>
    <xf numFmtId="0" fontId="5" fillId="0" borderId="27" xfId="0" applyFont="1" applyBorder="1" applyAlignment="1">
      <alignment wrapText="1"/>
    </xf>
    <xf numFmtId="0" fontId="5" fillId="0" borderId="28" xfId="0" applyFont="1" applyBorder="1" applyAlignment="1">
      <alignment wrapText="1"/>
    </xf>
    <xf numFmtId="0" fontId="3" fillId="4" borderId="37" xfId="0" applyFont="1" applyFill="1" applyBorder="1"/>
    <xf numFmtId="0" fontId="5" fillId="0" borderId="29" xfId="0" applyFont="1" applyFill="1" applyBorder="1" applyAlignment="1">
      <alignment wrapText="1"/>
    </xf>
    <xf numFmtId="0" fontId="20" fillId="0" borderId="0" xfId="0" applyFont="1" applyFill="1" applyProtection="1">
      <protection locked="0" hidden="1"/>
    </xf>
    <xf numFmtId="0" fontId="20" fillId="0" borderId="0" xfId="0" applyFont="1" applyProtection="1">
      <protection locked="0" hidden="1"/>
    </xf>
    <xf numFmtId="164" fontId="3" fillId="0" borderId="14" xfId="1" applyNumberFormat="1" applyFont="1" applyBorder="1" applyAlignment="1">
      <alignment horizontal="right" vertical="center"/>
    </xf>
    <xf numFmtId="0" fontId="5" fillId="0" borderId="26" xfId="0" applyFont="1" applyFill="1" applyBorder="1" applyAlignment="1">
      <alignment wrapText="1"/>
    </xf>
    <xf numFmtId="0" fontId="5" fillId="0" borderId="27" xfId="0" applyFont="1" applyFill="1" applyBorder="1" applyAlignment="1">
      <alignment wrapText="1"/>
    </xf>
    <xf numFmtId="0" fontId="5" fillId="0" borderId="28" xfId="0" applyFont="1" applyFill="1" applyBorder="1" applyAlignment="1">
      <alignment wrapText="1"/>
    </xf>
    <xf numFmtId="0" fontId="3" fillId="4" borderId="46" xfId="0" applyFont="1" applyFill="1" applyBorder="1"/>
    <xf numFmtId="0" fontId="3" fillId="4" borderId="47" xfId="0" applyFont="1" applyFill="1" applyBorder="1"/>
    <xf numFmtId="0" fontId="3" fillId="4" borderId="48" xfId="0" applyFont="1" applyFill="1" applyBorder="1"/>
    <xf numFmtId="166" fontId="3" fillId="3" borderId="14" xfId="0" applyNumberFormat="1" applyFont="1" applyFill="1" applyBorder="1"/>
    <xf numFmtId="166" fontId="3" fillId="3" borderId="23" xfId="0" applyNumberFormat="1" applyFont="1" applyFill="1" applyBorder="1"/>
    <xf numFmtId="166" fontId="3" fillId="4" borderId="14" xfId="0" applyNumberFormat="1" applyFont="1" applyFill="1" applyBorder="1"/>
    <xf numFmtId="0" fontId="3" fillId="0" borderId="46" xfId="0" applyFont="1" applyBorder="1"/>
    <xf numFmtId="0" fontId="3" fillId="0" borderId="47" xfId="0" applyFont="1" applyBorder="1"/>
    <xf numFmtId="0" fontId="3" fillId="0" borderId="48" xfId="0" applyFont="1" applyBorder="1"/>
    <xf numFmtId="0" fontId="23" fillId="5" borderId="18" xfId="2" applyBorder="1"/>
    <xf numFmtId="0" fontId="23" fillId="5" borderId="23" xfId="2" applyBorder="1"/>
    <xf numFmtId="0" fontId="23" fillId="5" borderId="21" xfId="2" applyBorder="1"/>
    <xf numFmtId="0" fontId="13" fillId="4" borderId="47" xfId="0" applyFont="1" applyFill="1" applyBorder="1"/>
    <xf numFmtId="0" fontId="0" fillId="0" borderId="30" xfId="0" applyBorder="1"/>
    <xf numFmtId="0" fontId="0" fillId="0" borderId="31" xfId="0" applyBorder="1"/>
    <xf numFmtId="0" fontId="0" fillId="0" borderId="29" xfId="0" applyBorder="1"/>
    <xf numFmtId="0" fontId="0" fillId="4" borderId="22" xfId="0" applyFill="1" applyBorder="1"/>
    <xf numFmtId="0" fontId="5" fillId="0" borderId="34" xfId="0" applyFont="1" applyFill="1" applyBorder="1" applyAlignment="1">
      <alignment wrapText="1"/>
    </xf>
    <xf numFmtId="0" fontId="5" fillId="0" borderId="33" xfId="0" applyFont="1" applyFill="1" applyBorder="1" applyAlignment="1">
      <alignment wrapText="1"/>
    </xf>
    <xf numFmtId="49" fontId="3" fillId="4" borderId="18" xfId="0" applyNumberFormat="1" applyFont="1" applyFill="1" applyBorder="1"/>
    <xf numFmtId="49" fontId="3" fillId="4" borderId="23" xfId="0" applyNumberFormat="1" applyFont="1" applyFill="1" applyBorder="1"/>
    <xf numFmtId="49" fontId="3" fillId="4" borderId="21" xfId="0" applyNumberFormat="1" applyFont="1" applyFill="1" applyBorder="1"/>
    <xf numFmtId="0" fontId="5" fillId="2" borderId="2" xfId="0" applyFont="1" applyFill="1" applyBorder="1" applyAlignment="1">
      <alignment wrapText="1"/>
    </xf>
    <xf numFmtId="0" fontId="3" fillId="3" borderId="2" xfId="0" applyFont="1" applyFill="1" applyBorder="1"/>
    <xf numFmtId="0" fontId="3" fillId="4" borderId="2" xfId="0" applyFont="1" applyFill="1" applyBorder="1"/>
    <xf numFmtId="0" fontId="26" fillId="6" borderId="51" xfId="4" applyFont="1" applyBorder="1"/>
    <xf numFmtId="0" fontId="26" fillId="6" borderId="52" xfId="4" applyFont="1" applyBorder="1"/>
    <xf numFmtId="0" fontId="26" fillId="6" borderId="53" xfId="4" applyFont="1" applyBorder="1"/>
    <xf numFmtId="0" fontId="26" fillId="6" borderId="50" xfId="4" applyFont="1" applyBorder="1"/>
    <xf numFmtId="0" fontId="26" fillId="6" borderId="54" xfId="4" applyFont="1" applyBorder="1"/>
    <xf numFmtId="0" fontId="26" fillId="6" borderId="55" xfId="4" applyFont="1" applyBorder="1"/>
    <xf numFmtId="0" fontId="26" fillId="0" borderId="0" xfId="0" applyFont="1"/>
    <xf numFmtId="0" fontId="3" fillId="0" borderId="35" xfId="0" applyFont="1" applyBorder="1"/>
    <xf numFmtId="0" fontId="3" fillId="0" borderId="3" xfId="0" applyFont="1" applyBorder="1"/>
    <xf numFmtId="0" fontId="3" fillId="0" borderId="36" xfId="0" applyFont="1" applyBorder="1"/>
    <xf numFmtId="0" fontId="26" fillId="0" borderId="56" xfId="3" applyFont="1" applyBorder="1" applyAlignment="1">
      <alignment vertical="center"/>
    </xf>
    <xf numFmtId="0" fontId="26" fillId="0" borderId="57" xfId="3" applyFont="1" applyBorder="1" applyAlignment="1">
      <alignment vertical="center"/>
    </xf>
    <xf numFmtId="0" fontId="0" fillId="0" borderId="26" xfId="0" applyFont="1" applyBorder="1"/>
    <xf numFmtId="0" fontId="0" fillId="0" borderId="31" xfId="0" applyFont="1" applyBorder="1"/>
    <xf numFmtId="0" fontId="0" fillId="0" borderId="27" xfId="0" applyFont="1" applyBorder="1"/>
    <xf numFmtId="0" fontId="0" fillId="0" borderId="0" xfId="0" applyFont="1"/>
    <xf numFmtId="49" fontId="0" fillId="0" borderId="0" xfId="0" applyNumberFormat="1" applyFont="1"/>
    <xf numFmtId="0" fontId="1" fillId="0" borderId="18" xfId="0" applyFont="1" applyBorder="1"/>
    <xf numFmtId="164" fontId="1" fillId="0" borderId="23" xfId="1" applyNumberFormat="1" applyFont="1" applyBorder="1"/>
    <xf numFmtId="1" fontId="1" fillId="0" borderId="21" xfId="0" applyNumberFormat="1" applyFont="1" applyBorder="1"/>
    <xf numFmtId="49" fontId="3" fillId="4" borderId="24" xfId="0" applyNumberFormat="1" applyFont="1" applyFill="1" applyBorder="1"/>
    <xf numFmtId="0" fontId="13" fillId="4" borderId="34" xfId="0" applyFont="1" applyFill="1" applyBorder="1"/>
    <xf numFmtId="0" fontId="13" fillId="4" borderId="33" xfId="0" applyFont="1" applyFill="1" applyBorder="1"/>
    <xf numFmtId="0" fontId="13" fillId="0" borderId="26" xfId="0" applyFont="1" applyBorder="1"/>
    <xf numFmtId="0" fontId="13" fillId="0" borderId="28" xfId="0" applyFont="1" applyBorder="1"/>
    <xf numFmtId="0" fontId="3" fillId="0" borderId="15" xfId="0" applyFont="1" applyBorder="1" applyAlignment="1">
      <alignment horizontal="right" vertical="center"/>
    </xf>
    <xf numFmtId="9" fontId="5" fillId="0" borderId="15" xfId="1" applyFont="1" applyBorder="1" applyAlignment="1">
      <alignment horizontal="left" vertical="center"/>
    </xf>
    <xf numFmtId="9" fontId="0" fillId="0" borderId="1" xfId="1" applyFont="1" applyBorder="1"/>
    <xf numFmtId="9" fontId="3" fillId="0" borderId="2" xfId="1" applyFont="1" applyBorder="1" applyAlignment="1">
      <alignment horizontal="right" vertical="center"/>
    </xf>
    <xf numFmtId="9" fontId="5" fillId="0" borderId="14" xfId="1" applyFont="1" applyBorder="1" applyAlignment="1">
      <alignment horizontal="center" vertical="center"/>
    </xf>
    <xf numFmtId="0" fontId="3" fillId="0" borderId="14" xfId="1" applyNumberFormat="1" applyFont="1" applyBorder="1" applyAlignment="1">
      <alignment vertical="center"/>
    </xf>
    <xf numFmtId="164" fontId="3" fillId="4" borderId="14" xfId="1" applyNumberFormat="1" applyFont="1" applyFill="1" applyBorder="1"/>
    <xf numFmtId="164" fontId="3" fillId="4" borderId="23" xfId="1" applyNumberFormat="1" applyFont="1" applyFill="1" applyBorder="1"/>
    <xf numFmtId="0" fontId="5" fillId="2" borderId="38" xfId="0" applyFont="1" applyFill="1" applyBorder="1" applyAlignment="1">
      <alignment wrapText="1"/>
    </xf>
    <xf numFmtId="0" fontId="0" fillId="0" borderId="38" xfId="0" applyBorder="1"/>
    <xf numFmtId="0" fontId="18" fillId="4" borderId="58" xfId="0" applyFont="1" applyFill="1" applyBorder="1"/>
    <xf numFmtId="165" fontId="11" fillId="0" borderId="2" xfId="1" applyNumberFormat="1" applyFont="1" applyBorder="1" applyAlignment="1">
      <alignment horizontal="right" vertical="center"/>
    </xf>
    <xf numFmtId="1" fontId="3" fillId="0" borderId="14" xfId="0" applyNumberFormat="1" applyFont="1" applyBorder="1" applyAlignment="1">
      <alignment horizontal="right" vertical="center"/>
    </xf>
    <xf numFmtId="1" fontId="0" fillId="0" borderId="14" xfId="0" applyNumberFormat="1" applyBorder="1"/>
    <xf numFmtId="1" fontId="3" fillId="0" borderId="8" xfId="0" applyNumberFormat="1" applyFont="1" applyBorder="1" applyAlignment="1">
      <alignment vertical="center"/>
    </xf>
    <xf numFmtId="0" fontId="13" fillId="4" borderId="19" xfId="0" applyFont="1" applyFill="1" applyBorder="1"/>
    <xf numFmtId="0" fontId="13" fillId="4" borderId="21" xfId="0" applyFont="1" applyFill="1" applyBorder="1"/>
    <xf numFmtId="0" fontId="19" fillId="2" borderId="26" xfId="0" applyFont="1" applyFill="1" applyBorder="1" applyAlignment="1">
      <alignment wrapText="1"/>
    </xf>
    <xf numFmtId="0" fontId="13" fillId="4" borderId="24" xfId="0" applyFont="1" applyFill="1" applyBorder="1"/>
    <xf numFmtId="0" fontId="13" fillId="4" borderId="22" xfId="0" applyFont="1" applyFill="1" applyBorder="1"/>
    <xf numFmtId="0" fontId="3" fillId="4" borderId="23" xfId="1" applyNumberFormat="1" applyFont="1" applyFill="1" applyBorder="1"/>
    <xf numFmtId="0" fontId="0" fillId="4" borderId="23" xfId="1" applyNumberFormat="1" applyFont="1" applyFill="1" applyBorder="1"/>
    <xf numFmtId="49" fontId="3" fillId="4" borderId="5" xfId="0" applyNumberFormat="1" applyFont="1" applyFill="1" applyBorder="1"/>
    <xf numFmtId="0" fontId="3" fillId="4" borderId="25" xfId="1" applyNumberFormat="1" applyFont="1" applyFill="1" applyBorder="1"/>
    <xf numFmtId="0" fontId="19" fillId="2" borderId="27" xfId="0" applyFont="1" applyFill="1" applyBorder="1" applyAlignment="1">
      <alignment wrapText="1"/>
    </xf>
    <xf numFmtId="0" fontId="19" fillId="2" borderId="28" xfId="1" applyNumberFormat="1" applyFont="1" applyFill="1" applyBorder="1" applyAlignment="1">
      <alignment wrapText="1"/>
    </xf>
    <xf numFmtId="0" fontId="13" fillId="4" borderId="38" xfId="0" applyFont="1" applyFill="1" applyBorder="1"/>
    <xf numFmtId="0" fontId="3" fillId="4" borderId="59" xfId="0" applyFont="1" applyFill="1" applyBorder="1"/>
    <xf numFmtId="0" fontId="5" fillId="0" borderId="26" xfId="0" applyFont="1" applyBorder="1"/>
    <xf numFmtId="0" fontId="5" fillId="0" borderId="27" xfId="0" applyFont="1" applyBorder="1"/>
    <xf numFmtId="0" fontId="5" fillId="0" borderId="28" xfId="0" applyFont="1" applyBorder="1"/>
    <xf numFmtId="0" fontId="0" fillId="0" borderId="45" xfId="0" applyBorder="1"/>
    <xf numFmtId="0" fontId="0" fillId="0" borderId="0" xfId="0" applyFont="1" applyBorder="1"/>
    <xf numFmtId="0" fontId="0" fillId="0" borderId="45" xfId="0" applyFont="1" applyBorder="1"/>
    <xf numFmtId="49" fontId="13" fillId="4" borderId="19" xfId="0" applyNumberFormat="1" applyFont="1" applyFill="1" applyBorder="1"/>
    <xf numFmtId="0" fontId="5" fillId="0" borderId="8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164" fontId="5" fillId="0" borderId="2" xfId="1" applyNumberFormat="1" applyFont="1" applyBorder="1" applyAlignment="1">
      <alignment vertical="center"/>
    </xf>
    <xf numFmtId="0" fontId="5" fillId="0" borderId="3" xfId="0" applyFont="1" applyBorder="1" applyAlignment="1">
      <alignment vertical="center"/>
    </xf>
    <xf numFmtId="164" fontId="5" fillId="0" borderId="1" xfId="1" applyNumberFormat="1" applyFont="1" applyBorder="1" applyAlignment="1">
      <alignment vertical="center"/>
    </xf>
    <xf numFmtId="1" fontId="3" fillId="0" borderId="1" xfId="0" applyNumberFormat="1" applyFont="1" applyBorder="1" applyAlignment="1">
      <alignment horizontal="center" vertical="center"/>
    </xf>
    <xf numFmtId="164" fontId="3" fillId="0" borderId="2" xfId="1" applyNumberFormat="1" applyFont="1" applyBorder="1" applyAlignment="1">
      <alignment horizontal="right" vertical="center"/>
    </xf>
    <xf numFmtId="0" fontId="3" fillId="0" borderId="26" xfId="0" applyFont="1" applyBorder="1"/>
    <xf numFmtId="0" fontId="3" fillId="0" borderId="27" xfId="0" applyFont="1" applyBorder="1"/>
    <xf numFmtId="0" fontId="3" fillId="4" borderId="35" xfId="0" applyFont="1" applyFill="1" applyBorder="1"/>
    <xf numFmtId="0" fontId="3" fillId="4" borderId="3" xfId="0" applyFont="1" applyFill="1" applyBorder="1"/>
    <xf numFmtId="1" fontId="3" fillId="4" borderId="25" xfId="0" applyNumberFormat="1" applyFont="1" applyFill="1" applyBorder="1"/>
    <xf numFmtId="1" fontId="3" fillId="4" borderId="36" xfId="0" applyNumberFormat="1" applyFont="1" applyFill="1" applyBorder="1"/>
    <xf numFmtId="1" fontId="3" fillId="0" borderId="28" xfId="0" applyNumberFormat="1" applyFont="1" applyBorder="1"/>
    <xf numFmtId="0" fontId="15" fillId="2" borderId="58" xfId="0" applyFont="1" applyFill="1" applyBorder="1" applyAlignment="1">
      <alignment wrapText="1"/>
    </xf>
    <xf numFmtId="0" fontId="5" fillId="2" borderId="46" xfId="0" applyFont="1" applyFill="1" applyBorder="1" applyAlignment="1">
      <alignment wrapText="1"/>
    </xf>
    <xf numFmtId="0" fontId="5" fillId="2" borderId="48" xfId="0" applyFont="1" applyFill="1" applyBorder="1" applyAlignment="1">
      <alignment wrapText="1"/>
    </xf>
    <xf numFmtId="0" fontId="5" fillId="2" borderId="60" xfId="0" applyFont="1" applyFill="1" applyBorder="1" applyAlignment="1">
      <alignment wrapText="1"/>
    </xf>
    <xf numFmtId="0" fontId="13" fillId="4" borderId="61" xfId="0" applyFont="1" applyFill="1" applyBorder="1"/>
    <xf numFmtId="0" fontId="13" fillId="4" borderId="29" xfId="0" applyFont="1" applyFill="1" applyBorder="1"/>
    <xf numFmtId="0" fontId="0" fillId="4" borderId="31" xfId="0" applyFill="1" applyBorder="1"/>
    <xf numFmtId="0" fontId="13" fillId="0" borderId="0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12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3" fillId="0" borderId="9" xfId="0" applyFont="1" applyBorder="1" applyAlignment="1">
      <alignment horizontal="left" vertical="center" indent="1"/>
    </xf>
    <xf numFmtId="0" fontId="13" fillId="0" borderId="11" xfId="0" applyFont="1" applyBorder="1" applyAlignment="1">
      <alignment horizontal="left" vertical="center" indent="1"/>
    </xf>
    <xf numFmtId="0" fontId="0" fillId="0" borderId="60" xfId="0" applyBorder="1"/>
    <xf numFmtId="0" fontId="5" fillId="0" borderId="62" xfId="0" applyFont="1" applyBorder="1"/>
    <xf numFmtId="0" fontId="5" fillId="0" borderId="15" xfId="1" applyNumberFormat="1" applyFont="1" applyBorder="1" applyAlignment="1">
      <alignment horizontal="left" vertical="center"/>
    </xf>
    <xf numFmtId="0" fontId="3" fillId="0" borderId="1" xfId="1" applyNumberFormat="1" applyFont="1" applyBorder="1"/>
    <xf numFmtId="0" fontId="3" fillId="0" borderId="2" xfId="1" applyNumberFormat="1" applyFont="1" applyBorder="1"/>
    <xf numFmtId="0" fontId="3" fillId="0" borderId="15" xfId="1" applyNumberFormat="1" applyFont="1" applyBorder="1" applyAlignment="1">
      <alignment horizontal="left" vertical="center"/>
    </xf>
    <xf numFmtId="0" fontId="5" fillId="0" borderId="15" xfId="0" applyNumberFormat="1" applyFont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3" fillId="0" borderId="2" xfId="0" applyNumberFormat="1" applyFont="1" applyBorder="1" applyAlignment="1">
      <alignment horizontal="left" vertical="center"/>
    </xf>
    <xf numFmtId="0" fontId="3" fillId="0" borderId="15" xfId="0" applyNumberFormat="1" applyFont="1" applyBorder="1" applyAlignment="1">
      <alignment horizontal="left" vertical="center"/>
    </xf>
    <xf numFmtId="0" fontId="3" fillId="0" borderId="15" xfId="0" applyNumberFormat="1" applyFont="1" applyBorder="1" applyAlignment="1">
      <alignment horizontal="right" vertical="center"/>
    </xf>
    <xf numFmtId="0" fontId="3" fillId="0" borderId="2" xfId="0" applyNumberFormat="1" applyFont="1" applyBorder="1" applyAlignment="1">
      <alignment horizontal="right" vertical="center"/>
    </xf>
    <xf numFmtId="0" fontId="3" fillId="4" borderId="63" xfId="1" applyNumberFormat="1" applyFont="1" applyFill="1" applyBorder="1"/>
    <xf numFmtId="0" fontId="3" fillId="4" borderId="64" xfId="1" applyNumberFormat="1" applyFont="1" applyFill="1" applyBorder="1"/>
    <xf numFmtId="164" fontId="3" fillId="4" borderId="64" xfId="1" applyNumberFormat="1" applyFont="1" applyFill="1" applyBorder="1"/>
    <xf numFmtId="0" fontId="3" fillId="4" borderId="64" xfId="0" applyFont="1" applyFill="1" applyBorder="1"/>
    <xf numFmtId="0" fontId="13" fillId="0" borderId="0" xfId="0" applyFont="1"/>
    <xf numFmtId="0" fontId="3" fillId="0" borderId="28" xfId="0" applyFont="1" applyFill="1" applyBorder="1"/>
    <xf numFmtId="0" fontId="3" fillId="0" borderId="24" xfId="0" applyFont="1" applyBorder="1" applyProtection="1">
      <protection locked="0"/>
    </xf>
    <xf numFmtId="0" fontId="3" fillId="0" borderId="5" xfId="0" applyFont="1" applyBorder="1" applyProtection="1">
      <protection locked="0"/>
    </xf>
    <xf numFmtId="0" fontId="3" fillId="0" borderId="25" xfId="0" applyFont="1" applyBorder="1" applyProtection="1">
      <protection locked="0"/>
    </xf>
    <xf numFmtId="0" fontId="3" fillId="0" borderId="22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" fillId="0" borderId="19" xfId="0" applyFont="1" applyBorder="1" applyProtection="1">
      <protection locked="0"/>
    </xf>
    <xf numFmtId="0" fontId="3" fillId="0" borderId="20" xfId="0" applyFont="1" applyBorder="1" applyProtection="1">
      <protection locked="0"/>
    </xf>
    <xf numFmtId="0" fontId="3" fillId="0" borderId="48" xfId="0" applyFont="1" applyBorder="1" applyProtection="1">
      <protection locked="0"/>
    </xf>
    <xf numFmtId="164" fontId="3" fillId="0" borderId="14" xfId="0" applyNumberFormat="1" applyFont="1" applyBorder="1" applyAlignment="1">
      <alignment horizontal="right" vertical="center"/>
    </xf>
    <xf numFmtId="0" fontId="21" fillId="0" borderId="7" xfId="0" applyFont="1" applyBorder="1" applyAlignment="1">
      <alignment vertical="center"/>
    </xf>
    <xf numFmtId="0" fontId="0" fillId="4" borderId="24" xfId="0" applyFill="1" applyBorder="1"/>
    <xf numFmtId="0" fontId="0" fillId="4" borderId="5" xfId="0" applyNumberFormat="1" applyFill="1" applyBorder="1"/>
    <xf numFmtId="0" fontId="0" fillId="4" borderId="5" xfId="0" applyFill="1" applyBorder="1"/>
    <xf numFmtId="0" fontId="0" fillId="0" borderId="29" xfId="0" applyBorder="1" applyProtection="1">
      <protection locked="0"/>
    </xf>
    <xf numFmtId="0" fontId="5" fillId="2" borderId="0" xfId="0" applyFont="1" applyFill="1"/>
    <xf numFmtId="0" fontId="3" fillId="3" borderId="24" xfId="0" applyFont="1" applyFill="1" applyBorder="1"/>
    <xf numFmtId="0" fontId="3" fillId="3" borderId="13" xfId="0" applyFont="1" applyFill="1" applyBorder="1"/>
    <xf numFmtId="0" fontId="3" fillId="3" borderId="5" xfId="0" applyFont="1" applyFill="1" applyBorder="1"/>
    <xf numFmtId="0" fontId="3" fillId="3" borderId="25" xfId="0" applyFont="1" applyFill="1" applyBorder="1"/>
    <xf numFmtId="0" fontId="3" fillId="4" borderId="13" xfId="0" applyFont="1" applyFill="1" applyBorder="1"/>
    <xf numFmtId="0" fontId="5" fillId="2" borderId="66" xfId="0" applyFont="1" applyFill="1" applyBorder="1" applyAlignment="1">
      <alignment wrapText="1"/>
    </xf>
    <xf numFmtId="0" fontId="3" fillId="3" borderId="35" xfId="0" applyFont="1" applyFill="1" applyBorder="1"/>
    <xf numFmtId="0" fontId="3" fillId="3" borderId="8" xfId="0" applyFont="1" applyFill="1" applyBorder="1"/>
    <xf numFmtId="0" fontId="3" fillId="3" borderId="3" xfId="0" applyFont="1" applyFill="1" applyBorder="1"/>
    <xf numFmtId="0" fontId="3" fillId="3" borderId="36" xfId="0" applyFont="1" applyFill="1" applyBorder="1"/>
    <xf numFmtId="0" fontId="3" fillId="4" borderId="8" xfId="0" applyFont="1" applyFill="1" applyBorder="1"/>
    <xf numFmtId="0" fontId="3" fillId="4" borderId="36" xfId="0" applyFont="1" applyFill="1" applyBorder="1"/>
    <xf numFmtId="49" fontId="3" fillId="4" borderId="20" xfId="0" applyNumberFormat="1" applyFont="1" applyFill="1" applyBorder="1"/>
    <xf numFmtId="0" fontId="3" fillId="0" borderId="14" xfId="1" applyNumberFormat="1" applyFont="1" applyBorder="1" applyAlignment="1">
      <alignment horizontal="right" vertical="center"/>
    </xf>
    <xf numFmtId="1" fontId="5" fillId="0" borderId="14" xfId="0" applyNumberFormat="1" applyFont="1" applyBorder="1" applyAlignment="1">
      <alignment horizontal="right" vertical="center"/>
    </xf>
    <xf numFmtId="1" fontId="0" fillId="0" borderId="14" xfId="0" applyNumberFormat="1" applyBorder="1" applyAlignment="1">
      <alignment horizontal="right" vertical="center"/>
    </xf>
    <xf numFmtId="1" fontId="3" fillId="2" borderId="15" xfId="0" applyNumberFormat="1" applyFont="1" applyFill="1" applyBorder="1" applyAlignment="1">
      <alignment horizontal="right" vertical="center"/>
    </xf>
    <xf numFmtId="1" fontId="3" fillId="0" borderId="15" xfId="0" applyNumberFormat="1" applyFont="1" applyBorder="1" applyAlignment="1">
      <alignment horizontal="right" vertical="center"/>
    </xf>
    <xf numFmtId="1" fontId="5" fillId="0" borderId="8" xfId="0" applyNumberFormat="1" applyFont="1" applyBorder="1" applyAlignment="1">
      <alignment vertical="center"/>
    </xf>
    <xf numFmtId="1" fontId="5" fillId="0" borderId="3" xfId="0" applyNumberFormat="1" applyFont="1" applyBorder="1" applyAlignment="1">
      <alignment vertical="center"/>
    </xf>
    <xf numFmtId="0" fontId="0" fillId="4" borderId="21" xfId="0" applyFill="1" applyBorder="1"/>
    <xf numFmtId="0" fontId="3" fillId="3" borderId="15" xfId="0" applyFont="1" applyFill="1" applyBorder="1"/>
    <xf numFmtId="0" fontId="3" fillId="2" borderId="38" xfId="0" applyFont="1" applyFill="1" applyBorder="1" applyAlignment="1">
      <alignment wrapText="1"/>
    </xf>
    <xf numFmtId="0" fontId="3" fillId="4" borderId="63" xfId="0" applyFont="1" applyFill="1" applyBorder="1"/>
    <xf numFmtId="49" fontId="3" fillId="4" borderId="25" xfId="0" applyNumberFormat="1" applyFont="1" applyFill="1" applyBorder="1"/>
    <xf numFmtId="0" fontId="3" fillId="4" borderId="0" xfId="0" applyFont="1" applyFill="1"/>
    <xf numFmtId="0" fontId="3" fillId="4" borderId="22" xfId="0" applyNumberFormat="1" applyFont="1" applyFill="1" applyBorder="1"/>
    <xf numFmtId="49" fontId="3" fillId="4" borderId="67" xfId="0" applyNumberFormat="1" applyFont="1" applyFill="1" applyBorder="1"/>
    <xf numFmtId="49" fontId="3" fillId="4" borderId="59" xfId="0" applyNumberFormat="1" applyFont="1" applyFill="1" applyBorder="1"/>
    <xf numFmtId="0" fontId="5" fillId="2" borderId="65" xfId="0" applyFont="1" applyFill="1" applyBorder="1" applyAlignment="1">
      <alignment wrapText="1"/>
    </xf>
    <xf numFmtId="0" fontId="0" fillId="0" borderId="22" xfId="0" applyBorder="1"/>
    <xf numFmtId="0" fontId="0" fillId="0" borderId="19" xfId="0" applyBorder="1"/>
    <xf numFmtId="0" fontId="0" fillId="0" borderId="20" xfId="0" applyBorder="1"/>
    <xf numFmtId="0" fontId="0" fillId="0" borderId="21" xfId="0" applyFill="1" applyBorder="1"/>
    <xf numFmtId="0" fontId="5" fillId="0" borderId="26" xfId="0" applyFont="1" applyFill="1" applyBorder="1" applyAlignment="1">
      <alignment horizontal="center" wrapText="1"/>
    </xf>
    <xf numFmtId="0" fontId="5" fillId="0" borderId="27" xfId="0" applyFont="1" applyFill="1" applyBorder="1" applyAlignment="1">
      <alignment horizontal="center" wrapText="1"/>
    </xf>
    <xf numFmtId="0" fontId="5" fillId="0" borderId="28" xfId="0" applyFont="1" applyFill="1" applyBorder="1" applyAlignment="1">
      <alignment horizontal="center" wrapText="1"/>
    </xf>
    <xf numFmtId="0" fontId="5" fillId="2" borderId="34" xfId="0" applyFont="1" applyFill="1" applyBorder="1"/>
    <xf numFmtId="0" fontId="5" fillId="2" borderId="32" xfId="0" applyFont="1" applyFill="1" applyBorder="1"/>
    <xf numFmtId="0" fontId="13" fillId="4" borderId="14" xfId="0" applyFont="1" applyFill="1" applyBorder="1"/>
    <xf numFmtId="0" fontId="13" fillId="4" borderId="23" xfId="0" applyFont="1" applyFill="1" applyBorder="1"/>
    <xf numFmtId="0" fontId="13" fillId="4" borderId="26" xfId="0" applyNumberFormat="1" applyFont="1" applyFill="1" applyBorder="1"/>
    <xf numFmtId="0" fontId="13" fillId="4" borderId="27" xfId="0" applyFont="1" applyFill="1" applyBorder="1"/>
    <xf numFmtId="0" fontId="0" fillId="4" borderId="28" xfId="0" applyFill="1" applyBorder="1"/>
    <xf numFmtId="49" fontId="3" fillId="4" borderId="17" xfId="0" applyNumberFormat="1" applyFont="1" applyFill="1" applyBorder="1"/>
    <xf numFmtId="49" fontId="13" fillId="4" borderId="68" xfId="0" applyNumberFormat="1" applyFont="1" applyFill="1" applyBorder="1"/>
    <xf numFmtId="49" fontId="3" fillId="4" borderId="68" xfId="0" applyNumberFormat="1" applyFont="1" applyFill="1" applyBorder="1"/>
    <xf numFmtId="49" fontId="3" fillId="4" borderId="2" xfId="0" applyNumberFormat="1" applyFont="1" applyFill="1" applyBorder="1"/>
    <xf numFmtId="49" fontId="3" fillId="4" borderId="69" xfId="0" applyNumberFormat="1" applyFont="1" applyFill="1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49" fontId="13" fillId="4" borderId="16" xfId="0" applyNumberFormat="1" applyFont="1" applyFill="1" applyBorder="1"/>
    <xf numFmtId="0" fontId="13" fillId="4" borderId="45" xfId="0" applyFont="1" applyFill="1" applyBorder="1"/>
    <xf numFmtId="0" fontId="3" fillId="3" borderId="11" xfId="0" applyFont="1" applyFill="1" applyBorder="1"/>
    <xf numFmtId="0" fontId="3" fillId="3" borderId="16" xfId="0" applyFont="1" applyFill="1" applyBorder="1"/>
    <xf numFmtId="0" fontId="3" fillId="3" borderId="17" xfId="0" applyFont="1" applyFill="1" applyBorder="1"/>
    <xf numFmtId="0" fontId="3" fillId="3" borderId="18" xfId="0" applyFont="1" applyFill="1" applyBorder="1"/>
    <xf numFmtId="0" fontId="3" fillId="3" borderId="19" xfId="0" applyFont="1" applyFill="1" applyBorder="1"/>
    <xf numFmtId="0" fontId="3" fillId="3" borderId="20" xfId="0" applyFont="1" applyFill="1" applyBorder="1"/>
    <xf numFmtId="0" fontId="3" fillId="3" borderId="21" xfId="0" applyFont="1" applyFill="1" applyBorder="1"/>
    <xf numFmtId="0" fontId="5" fillId="0" borderId="29" xfId="0" applyFont="1" applyBorder="1"/>
    <xf numFmtId="0" fontId="5" fillId="0" borderId="31" xfId="0" applyFont="1" applyBorder="1"/>
    <xf numFmtId="0" fontId="3" fillId="4" borderId="29" xfId="0" applyFont="1" applyFill="1" applyBorder="1"/>
    <xf numFmtId="0" fontId="5" fillId="2" borderId="28" xfId="0" applyFont="1" applyFill="1" applyBorder="1"/>
    <xf numFmtId="0" fontId="3" fillId="0" borderId="14" xfId="0" applyFont="1" applyBorder="1" applyAlignment="1">
      <alignment wrapText="1"/>
    </xf>
    <xf numFmtId="0" fontId="3" fillId="0" borderId="14" xfId="0" applyFont="1" applyBorder="1"/>
    <xf numFmtId="0" fontId="3" fillId="0" borderId="14" xfId="0" applyFont="1" applyBorder="1" applyAlignment="1">
      <alignment horizontal="center"/>
    </xf>
    <xf numFmtId="3" fontId="3" fillId="0" borderId="14" xfId="0" applyNumberFormat="1" applyFont="1" applyBorder="1"/>
    <xf numFmtId="0" fontId="3" fillId="0" borderId="14" xfId="0" applyFont="1" applyFill="1" applyBorder="1"/>
    <xf numFmtId="0" fontId="3" fillId="0" borderId="22" xfId="0" applyFont="1" applyBorder="1" applyAlignment="1">
      <alignment wrapText="1"/>
    </xf>
    <xf numFmtId="0" fontId="3" fillId="0" borderId="23" xfId="0" applyFont="1" applyBorder="1" applyAlignment="1">
      <alignment wrapText="1"/>
    </xf>
    <xf numFmtId="0" fontId="3" fillId="0" borderId="23" xfId="0" applyFont="1" applyBorder="1"/>
    <xf numFmtId="167" fontId="3" fillId="0" borderId="23" xfId="1" applyNumberFormat="1" applyFont="1" applyBorder="1" applyAlignment="1">
      <alignment vertical="center"/>
    </xf>
    <xf numFmtId="0" fontId="3" fillId="0" borderId="19" xfId="0" applyFont="1" applyFill="1" applyBorder="1"/>
    <xf numFmtId="0" fontId="3" fillId="0" borderId="20" xfId="0" applyFont="1" applyFill="1" applyBorder="1"/>
    <xf numFmtId="167" fontId="3" fillId="0" borderId="21" xfId="1" applyNumberFormat="1" applyFont="1" applyBorder="1" applyAlignment="1">
      <alignment vertical="center"/>
    </xf>
    <xf numFmtId="0" fontId="3" fillId="0" borderId="19" xfId="0" applyFont="1" applyBorder="1"/>
    <xf numFmtId="0" fontId="3" fillId="0" borderId="20" xfId="0" applyFont="1" applyBorder="1"/>
    <xf numFmtId="0" fontId="3" fillId="0" borderId="21" xfId="0" applyFont="1" applyBorder="1"/>
    <xf numFmtId="167" fontId="3" fillId="0" borderId="5" xfId="0" applyNumberFormat="1" applyFont="1" applyBorder="1"/>
    <xf numFmtId="0" fontId="3" fillId="0" borderId="18" xfId="0" applyFont="1" applyBorder="1"/>
    <xf numFmtId="1" fontId="3" fillId="0" borderId="21" xfId="0" applyNumberFormat="1" applyFont="1" applyBorder="1"/>
    <xf numFmtId="0" fontId="3" fillId="4" borderId="5" xfId="0" applyFont="1" applyFill="1" applyBorder="1" applyAlignment="1">
      <alignment horizontal="left" indent="1"/>
    </xf>
    <xf numFmtId="0" fontId="3" fillId="4" borderId="14" xfId="0" applyFont="1" applyFill="1" applyBorder="1" applyAlignment="1">
      <alignment horizontal="left" indent="1"/>
    </xf>
    <xf numFmtId="0" fontId="3" fillId="4" borderId="3" xfId="0" applyFont="1" applyFill="1" applyBorder="1" applyAlignment="1">
      <alignment horizontal="left" indent="1"/>
    </xf>
    <xf numFmtId="167" fontId="3" fillId="0" borderId="5" xfId="0" applyNumberFormat="1" applyFont="1" applyFill="1" applyBorder="1"/>
    <xf numFmtId="0" fontId="3" fillId="0" borderId="14" xfId="0" applyNumberFormat="1" applyFont="1" applyBorder="1" applyAlignment="1">
      <alignment horizontal="right" vertical="center"/>
    </xf>
    <xf numFmtId="0" fontId="3" fillId="0" borderId="29" xfId="0" applyFont="1" applyBorder="1"/>
    <xf numFmtId="0" fontId="0" fillId="4" borderId="38" xfId="0" applyFill="1" applyBorder="1"/>
    <xf numFmtId="164" fontId="3" fillId="4" borderId="70" xfId="1" applyNumberFormat="1" applyFont="1" applyFill="1" applyBorder="1"/>
    <xf numFmtId="164" fontId="3" fillId="4" borderId="71" xfId="1" applyNumberFormat="1" applyFont="1" applyFill="1" applyBorder="1"/>
    <xf numFmtId="164" fontId="3" fillId="4" borderId="17" xfId="1" applyNumberFormat="1" applyFont="1" applyFill="1" applyBorder="1"/>
    <xf numFmtId="164" fontId="3" fillId="4" borderId="20" xfId="1" applyNumberFormat="1" applyFont="1" applyFill="1" applyBorder="1"/>
    <xf numFmtId="0" fontId="18" fillId="4" borderId="22" xfId="0" applyFont="1" applyFill="1" applyBorder="1"/>
    <xf numFmtId="0" fontId="18" fillId="4" borderId="14" xfId="0" applyFont="1" applyFill="1" applyBorder="1"/>
    <xf numFmtId="0" fontId="18" fillId="4" borderId="23" xfId="0" applyFont="1" applyFill="1" applyBorder="1"/>
    <xf numFmtId="164" fontId="3" fillId="0" borderId="2" xfId="0" applyNumberFormat="1" applyFont="1" applyBorder="1" applyAlignment="1">
      <alignment horizontal="right" vertical="center"/>
    </xf>
    <xf numFmtId="0" fontId="3" fillId="0" borderId="1" xfId="0" applyNumberFormat="1" applyFont="1" applyBorder="1" applyAlignment="1">
      <alignment horizontal="right" vertical="center"/>
    </xf>
    <xf numFmtId="1" fontId="3" fillId="4" borderId="23" xfId="0" applyNumberFormat="1" applyFont="1" applyFill="1" applyBorder="1"/>
    <xf numFmtId="0" fontId="3" fillId="2" borderId="22" xfId="0" applyFont="1" applyFill="1" applyBorder="1"/>
    <xf numFmtId="0" fontId="3" fillId="2" borderId="14" xfId="0" applyFont="1" applyFill="1" applyBorder="1"/>
    <xf numFmtId="1" fontId="3" fillId="2" borderId="23" xfId="0" applyNumberFormat="1" applyFont="1" applyFill="1" applyBorder="1"/>
    <xf numFmtId="0" fontId="1" fillId="4" borderId="29" xfId="0" applyFont="1" applyFill="1" applyBorder="1" applyAlignment="1">
      <alignment horizontal="center"/>
    </xf>
    <xf numFmtId="0" fontId="1" fillId="4" borderId="31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6" fillId="6" borderId="22" xfId="4" applyFont="1" applyBorder="1" applyAlignment="1">
      <alignment horizontal="left" vertical="center"/>
    </xf>
    <xf numFmtId="0" fontId="26" fillId="6" borderId="14" xfId="4" applyFont="1" applyBorder="1" applyAlignment="1">
      <alignment horizontal="left" vertical="center"/>
    </xf>
    <xf numFmtId="0" fontId="26" fillId="6" borderId="19" xfId="4" applyFont="1" applyBorder="1" applyAlignment="1">
      <alignment horizontal="left" vertical="center"/>
    </xf>
    <xf numFmtId="0" fontId="26" fillId="6" borderId="20" xfId="4" applyFont="1" applyBorder="1" applyAlignment="1">
      <alignment horizontal="left" vertical="center"/>
    </xf>
    <xf numFmtId="0" fontId="26" fillId="0" borderId="16" xfId="3" applyFont="1" applyBorder="1" applyAlignment="1">
      <alignment horizontal="center" vertical="center"/>
    </xf>
    <xf numFmtId="0" fontId="26" fillId="0" borderId="17" xfId="3" applyFont="1" applyBorder="1" applyAlignment="1">
      <alignment horizontal="center" vertical="center"/>
    </xf>
    <xf numFmtId="0" fontId="26" fillId="0" borderId="18" xfId="3" applyFont="1" applyBorder="1" applyAlignment="1">
      <alignment horizontal="center" vertical="center"/>
    </xf>
    <xf numFmtId="0" fontId="26" fillId="0" borderId="16" xfId="3" applyFont="1" applyBorder="1" applyAlignment="1">
      <alignment horizontal="left" vertical="center"/>
    </xf>
    <xf numFmtId="0" fontId="26" fillId="0" borderId="18" xfId="3" applyFont="1" applyBorder="1" applyAlignment="1">
      <alignment horizontal="left" vertical="center"/>
    </xf>
    <xf numFmtId="0" fontId="26" fillId="6" borderId="16" xfId="4" applyFont="1" applyBorder="1" applyAlignment="1">
      <alignment horizontal="left" vertical="center"/>
    </xf>
    <xf numFmtId="0" fontId="26" fillId="6" borderId="17" xfId="4" applyFont="1" applyBorder="1" applyAlignment="1">
      <alignment horizontal="left" vertical="center"/>
    </xf>
    <xf numFmtId="1" fontId="3" fillId="0" borderId="14" xfId="1" applyNumberFormat="1" applyFont="1" applyBorder="1" applyAlignment="1">
      <alignment horizontal="right" vertical="center"/>
    </xf>
    <xf numFmtId="0" fontId="3" fillId="0" borderId="14" xfId="0" applyNumberFormat="1" applyFont="1" applyBorder="1" applyAlignment="1">
      <alignment horizontal="left" vertical="center"/>
    </xf>
    <xf numFmtId="1" fontId="3" fillId="0" borderId="14" xfId="0" applyNumberFormat="1" applyFont="1" applyBorder="1" applyAlignment="1">
      <alignment horizontal="right" vertical="center"/>
    </xf>
    <xf numFmtId="0" fontId="3" fillId="0" borderId="14" xfId="1" applyNumberFormat="1" applyFont="1" applyBorder="1" applyAlignment="1">
      <alignment horizontal="left" vertical="center"/>
    </xf>
    <xf numFmtId="0" fontId="3" fillId="0" borderId="1" xfId="0" applyNumberFormat="1" applyFont="1" applyBorder="1" applyAlignment="1">
      <alignment horizontal="right" vertical="center"/>
    </xf>
    <xf numFmtId="0" fontId="5" fillId="0" borderId="14" xfId="0" applyNumberFormat="1" applyFont="1" applyBorder="1" applyAlignment="1">
      <alignment horizontal="left" vertical="center"/>
    </xf>
    <xf numFmtId="0" fontId="5" fillId="0" borderId="15" xfId="0" applyNumberFormat="1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0" fontId="5" fillId="0" borderId="2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0" borderId="6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9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7" xfId="0" applyFont="1" applyBorder="1" applyAlignment="1">
      <alignment horizontal="left" vertical="center"/>
    </xf>
    <xf numFmtId="0" fontId="21" fillId="0" borderId="7" xfId="0" applyFont="1" applyBorder="1" applyAlignment="1">
      <alignment horizontal="right" vertical="top"/>
    </xf>
    <xf numFmtId="0" fontId="5" fillId="0" borderId="1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164" fontId="3" fillId="0" borderId="11" xfId="1" applyNumberFormat="1" applyFont="1" applyBorder="1" applyAlignment="1">
      <alignment horizontal="center"/>
    </xf>
    <xf numFmtId="164" fontId="3" fillId="0" borderId="13" xfId="1" applyNumberFormat="1" applyFont="1" applyBorder="1" applyAlignment="1">
      <alignment horizontal="center"/>
    </xf>
    <xf numFmtId="0" fontId="5" fillId="0" borderId="9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0" fillId="0" borderId="12" xfId="0" applyBorder="1"/>
    <xf numFmtId="0" fontId="0" fillId="0" borderId="13" xfId="0" applyBorder="1"/>
    <xf numFmtId="1" fontId="3" fillId="0" borderId="15" xfId="1" applyNumberFormat="1" applyFont="1" applyBorder="1" applyAlignment="1">
      <alignment horizontal="right" vertical="center"/>
    </xf>
    <xf numFmtId="1" fontId="3" fillId="0" borderId="2" xfId="1" applyNumberFormat="1" applyFont="1" applyBorder="1" applyAlignment="1">
      <alignment horizontal="right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top" textRotation="255" wrapText="1"/>
    </xf>
    <xf numFmtId="0" fontId="2" fillId="0" borderId="5" xfId="0" applyFont="1" applyBorder="1" applyAlignment="1">
      <alignment horizontal="center" vertical="top" textRotation="255" wrapText="1"/>
    </xf>
    <xf numFmtId="0" fontId="3" fillId="0" borderId="12" xfId="0" applyFont="1" applyBorder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9" fontId="4" fillId="0" borderId="0" xfId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9" fontId="1" fillId="0" borderId="15" xfId="1" applyFont="1" applyBorder="1" applyAlignment="1">
      <alignment horizontal="center" vertical="center"/>
    </xf>
    <xf numFmtId="9" fontId="1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9" fontId="5" fillId="0" borderId="15" xfId="1" applyFont="1" applyBorder="1" applyAlignment="1">
      <alignment horizontal="center" vertical="center"/>
    </xf>
    <xf numFmtId="9" fontId="5" fillId="0" borderId="1" xfId="1" applyFont="1" applyBorder="1" applyAlignment="1">
      <alignment horizontal="center" vertical="center"/>
    </xf>
    <xf numFmtId="9" fontId="5" fillId="0" borderId="2" xfId="1" applyFont="1" applyBorder="1" applyAlignment="1">
      <alignment horizontal="center" vertical="center"/>
    </xf>
    <xf numFmtId="0" fontId="5" fillId="0" borderId="15" xfId="0" applyFont="1" applyBorder="1" applyAlignment="1">
      <alignment vertical="center" wrapText="1"/>
    </xf>
    <xf numFmtId="0" fontId="6" fillId="0" borderId="1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3" fillId="0" borderId="1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9" fontId="5" fillId="0" borderId="15" xfId="1" applyFont="1" applyBorder="1" applyAlignment="1">
      <alignment horizontal="left" vertical="center"/>
    </xf>
    <xf numFmtId="9" fontId="5" fillId="0" borderId="1" xfId="1" applyFont="1" applyBorder="1" applyAlignment="1">
      <alignment horizontal="left" vertical="center"/>
    </xf>
    <xf numFmtId="9" fontId="0" fillId="0" borderId="2" xfId="1" applyFont="1" applyBorder="1" applyAlignment="1">
      <alignment horizontal="center" vertical="center"/>
    </xf>
    <xf numFmtId="0" fontId="3" fillId="2" borderId="29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5" fillId="4" borderId="34" xfId="0" applyFont="1" applyFill="1" applyBorder="1" applyAlignment="1">
      <alignment horizontal="center"/>
    </xf>
    <xf numFmtId="0" fontId="5" fillId="4" borderId="65" xfId="0" applyFont="1" applyFill="1" applyBorder="1" applyAlignment="1">
      <alignment horizontal="center"/>
    </xf>
    <xf numFmtId="0" fontId="5" fillId="4" borderId="32" xfId="0" applyFont="1" applyFill="1" applyBorder="1" applyAlignment="1">
      <alignment horizontal="center"/>
    </xf>
    <xf numFmtId="0" fontId="5" fillId="4" borderId="33" xfId="0" applyFont="1" applyFill="1" applyBorder="1" applyAlignment="1">
      <alignment horizontal="center"/>
    </xf>
    <xf numFmtId="0" fontId="5" fillId="3" borderId="34" xfId="0" applyFont="1" applyFill="1" applyBorder="1" applyAlignment="1">
      <alignment horizontal="center"/>
    </xf>
    <xf numFmtId="0" fontId="5" fillId="3" borderId="65" xfId="0" applyFont="1" applyFill="1" applyBorder="1" applyAlignment="1">
      <alignment horizontal="center"/>
    </xf>
    <xf numFmtId="0" fontId="5" fillId="3" borderId="32" xfId="0" applyFont="1" applyFill="1" applyBorder="1" applyAlignment="1">
      <alignment horizontal="center"/>
    </xf>
    <xf numFmtId="0" fontId="5" fillId="3" borderId="33" xfId="0" applyFont="1" applyFill="1" applyBorder="1" applyAlignment="1">
      <alignment horizontal="center"/>
    </xf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/>
    </xf>
    <xf numFmtId="0" fontId="3" fillId="4" borderId="29" xfId="0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0" fontId="3" fillId="4" borderId="16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1" fillId="4" borderId="26" xfId="0" applyFont="1" applyFill="1" applyBorder="1" applyAlignment="1">
      <alignment horizontal="center"/>
    </xf>
    <xf numFmtId="0" fontId="1" fillId="4" borderId="27" xfId="0" applyFont="1" applyFill="1" applyBorder="1" applyAlignment="1">
      <alignment horizontal="center"/>
    </xf>
    <xf numFmtId="0" fontId="1" fillId="4" borderId="28" xfId="0" applyFont="1" applyFill="1" applyBorder="1" applyAlignment="1">
      <alignment horizontal="center"/>
    </xf>
    <xf numFmtId="0" fontId="1" fillId="4" borderId="34" xfId="0" applyFont="1" applyFill="1" applyBorder="1" applyAlignment="1">
      <alignment horizontal="center" wrapText="1"/>
    </xf>
    <xf numFmtId="0" fontId="1" fillId="4" borderId="33" xfId="0" applyFont="1" applyFill="1" applyBorder="1" applyAlignment="1">
      <alignment horizontal="center" wrapText="1"/>
    </xf>
    <xf numFmtId="0" fontId="1" fillId="4" borderId="32" xfId="0" applyFont="1" applyFill="1" applyBorder="1" applyAlignment="1">
      <alignment horizontal="center" wrapText="1"/>
    </xf>
    <xf numFmtId="0" fontId="1" fillId="4" borderId="34" xfId="0" applyFont="1" applyFill="1" applyBorder="1" applyAlignment="1">
      <alignment horizontal="center"/>
    </xf>
    <xf numFmtId="0" fontId="1" fillId="4" borderId="32" xfId="0" applyFont="1" applyFill="1" applyBorder="1" applyAlignment="1">
      <alignment horizontal="center"/>
    </xf>
    <xf numFmtId="0" fontId="1" fillId="4" borderId="33" xfId="0" applyFont="1" applyFill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4" borderId="39" xfId="0" applyFont="1" applyFill="1" applyBorder="1" applyAlignment="1">
      <alignment horizontal="center"/>
    </xf>
    <xf numFmtId="0" fontId="1" fillId="4" borderId="40" xfId="0" applyFont="1" applyFill="1" applyBorder="1" applyAlignment="1">
      <alignment horizontal="center"/>
    </xf>
    <xf numFmtId="0" fontId="1" fillId="4" borderId="41" xfId="0" applyFont="1" applyFill="1" applyBorder="1" applyAlignment="1">
      <alignment horizontal="center"/>
    </xf>
    <xf numFmtId="0" fontId="5" fillId="2" borderId="29" xfId="0" applyFont="1" applyFill="1" applyBorder="1" applyAlignment="1">
      <alignment horizontal="center" wrapText="1"/>
    </xf>
    <xf numFmtId="0" fontId="5" fillId="2" borderId="31" xfId="0" applyFont="1" applyFill="1" applyBorder="1" applyAlignment="1">
      <alignment horizontal="center" wrapText="1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" fillId="4" borderId="26" xfId="0" applyFont="1" applyFill="1" applyBorder="1" applyAlignment="1">
      <alignment horizontal="center" wrapText="1"/>
    </xf>
    <xf numFmtId="0" fontId="1" fillId="4" borderId="37" xfId="0" applyFont="1" applyFill="1" applyBorder="1" applyAlignment="1">
      <alignment horizontal="center" wrapText="1"/>
    </xf>
    <xf numFmtId="0" fontId="1" fillId="4" borderId="28" xfId="0" applyFont="1" applyFill="1" applyBorder="1" applyAlignment="1">
      <alignment horizontal="center" wrapText="1"/>
    </xf>
    <xf numFmtId="0" fontId="5" fillId="4" borderId="29" xfId="0" applyFont="1" applyFill="1" applyBorder="1" applyAlignment="1">
      <alignment horizontal="center"/>
    </xf>
    <xf numFmtId="0" fontId="5" fillId="4" borderId="30" xfId="0" applyFont="1" applyFill="1" applyBorder="1" applyAlignment="1">
      <alignment horizontal="center"/>
    </xf>
    <xf numFmtId="0" fontId="5" fillId="4" borderId="31" xfId="0" applyFont="1" applyFill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26" xfId="0" applyFont="1" applyFill="1" applyBorder="1" applyAlignment="1">
      <alignment horizontal="center"/>
    </xf>
    <xf numFmtId="0" fontId="3" fillId="0" borderId="28" xfId="0" applyFont="1" applyFill="1" applyBorder="1" applyAlignment="1">
      <alignment horizontal="center"/>
    </xf>
  </cellXfs>
  <cellStyles count="5">
    <cellStyle name="Explanatory Text" xfId="3" builtinId="53"/>
    <cellStyle name="Input" xfId="4" builtinId="20"/>
    <cellStyle name="Normal" xfId="0" builtinId="0"/>
    <cellStyle name="Output" xfId="2" builtinId="21"/>
    <cellStyle name="Percent" xfId="1" builtinId="5"/>
  </cellStyles>
  <dxfs count="16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FF9900"/>
      <color rgb="FFFF0000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xVal>
            <c:numRef>
              <c:f>'Fuel CG'!$A$2:$A$25</c:f>
              <c:numCache>
                <c:formatCode>General</c:formatCode>
                <c:ptCount val="24"/>
                <c:pt idx="0">
                  <c:v>209</c:v>
                </c:pt>
                <c:pt idx="1">
                  <c:v>418</c:v>
                </c:pt>
                <c:pt idx="2">
                  <c:v>628</c:v>
                </c:pt>
                <c:pt idx="3">
                  <c:v>837</c:v>
                </c:pt>
                <c:pt idx="4">
                  <c:v>1046</c:v>
                </c:pt>
                <c:pt idx="5">
                  <c:v>1255</c:v>
                </c:pt>
                <c:pt idx="6">
                  <c:v>1465</c:v>
                </c:pt>
                <c:pt idx="7">
                  <c:v>1605</c:v>
                </c:pt>
                <c:pt idx="8">
                  <c:v>1883</c:v>
                </c:pt>
                <c:pt idx="9">
                  <c:v>2092</c:v>
                </c:pt>
                <c:pt idx="10">
                  <c:v>2302</c:v>
                </c:pt>
                <c:pt idx="11">
                  <c:v>2510</c:v>
                </c:pt>
                <c:pt idx="12">
                  <c:v>2747</c:v>
                </c:pt>
                <c:pt idx="13">
                  <c:v>2929</c:v>
                </c:pt>
                <c:pt idx="14">
                  <c:v>3138</c:v>
                </c:pt>
                <c:pt idx="15">
                  <c:v>3348</c:v>
                </c:pt>
                <c:pt idx="16">
                  <c:v>3557</c:v>
                </c:pt>
                <c:pt idx="17">
                  <c:v>3766</c:v>
                </c:pt>
                <c:pt idx="18">
                  <c:v>3975</c:v>
                </c:pt>
                <c:pt idx="19">
                  <c:v>4185</c:v>
                </c:pt>
                <c:pt idx="20">
                  <c:v>4394</c:v>
                </c:pt>
                <c:pt idx="21">
                  <c:v>4603</c:v>
                </c:pt>
                <c:pt idx="22">
                  <c:v>4812</c:v>
                </c:pt>
                <c:pt idx="23">
                  <c:v>5032</c:v>
                </c:pt>
              </c:numCache>
            </c:numRef>
          </c:xVal>
          <c:yVal>
            <c:numRef>
              <c:f>'Fuel CG'!$C$2:$C$25</c:f>
              <c:numCache>
                <c:formatCode>General</c:formatCode>
                <c:ptCount val="24"/>
                <c:pt idx="0">
                  <c:v>2.3732057416267942</c:v>
                </c:pt>
                <c:pt idx="1">
                  <c:v>2.3732057416267942</c:v>
                </c:pt>
                <c:pt idx="2">
                  <c:v>2.3742038216560508</c:v>
                </c:pt>
                <c:pt idx="3">
                  <c:v>2.3739545997610514</c:v>
                </c:pt>
                <c:pt idx="4">
                  <c:v>2.3738049713193115</c:v>
                </c:pt>
                <c:pt idx="5">
                  <c:v>2.3737051792828687</c:v>
                </c:pt>
                <c:pt idx="6">
                  <c:v>2.3740614334470989</c:v>
                </c:pt>
                <c:pt idx="7">
                  <c:v>2.3738317757009346</c:v>
                </c:pt>
                <c:pt idx="8">
                  <c:v>2.5687732342007434</c:v>
                </c:pt>
                <c:pt idx="9">
                  <c:v>2.681166347992352</c:v>
                </c:pt>
                <c:pt idx="10">
                  <c:v>2.7736750651607296</c:v>
                </c:pt>
                <c:pt idx="11">
                  <c:v>2.8498007968127488</c:v>
                </c:pt>
                <c:pt idx="12">
                  <c:v>2.9228248998907898</c:v>
                </c:pt>
                <c:pt idx="13">
                  <c:v>2.9344486172755206</c:v>
                </c:pt>
                <c:pt idx="14">
                  <c:v>2.9458253664754621</c:v>
                </c:pt>
                <c:pt idx="15">
                  <c:v>2.9560931899641578</c:v>
                </c:pt>
                <c:pt idx="16">
                  <c:v>2.9651391622153502</c:v>
                </c:pt>
                <c:pt idx="17">
                  <c:v>2.9731810939989378</c:v>
                </c:pt>
                <c:pt idx="18">
                  <c:v>2.980377358490566</c:v>
                </c:pt>
                <c:pt idx="19">
                  <c:v>2.9868578255675029</c:v>
                </c:pt>
                <c:pt idx="20">
                  <c:v>2.9924897587619479</c:v>
                </c:pt>
                <c:pt idx="21">
                  <c:v>2.9978275038018682</c:v>
                </c:pt>
                <c:pt idx="22">
                  <c:v>3.0027015793848713</c:v>
                </c:pt>
                <c:pt idx="23">
                  <c:v>3.0073529411764706</c:v>
                </c:pt>
              </c:numCache>
            </c:numRef>
          </c:yVal>
          <c:smooth val="1"/>
        </c:ser>
        <c:axId val="76148096"/>
        <c:axId val="96121984"/>
      </c:scatterChart>
      <c:valAx>
        <c:axId val="76148096"/>
        <c:scaling>
          <c:orientation val="minMax"/>
        </c:scaling>
        <c:axPos val="b"/>
        <c:numFmt formatCode="General" sourceLinked="1"/>
        <c:tickLblPos val="nextTo"/>
        <c:crossAx val="96121984"/>
        <c:crosses val="autoZero"/>
        <c:crossBetween val="midCat"/>
      </c:valAx>
      <c:valAx>
        <c:axId val="96121984"/>
        <c:scaling>
          <c:orientation val="minMax"/>
        </c:scaling>
        <c:axPos val="l"/>
        <c:majorGridlines/>
        <c:numFmt formatCode="General" sourceLinked="1"/>
        <c:tickLblPos val="nextTo"/>
        <c:crossAx val="7614809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Block 10/15/25/30/32</a:t>
            </a:r>
          </a:p>
        </c:rich>
      </c:tx>
      <c:overlay val="1"/>
    </c:title>
    <c:plotArea>
      <c:layout>
        <c:manualLayout>
          <c:layoutTarget val="inner"/>
          <c:xMode val="edge"/>
          <c:yMode val="edge"/>
          <c:x val="0.11312501521725372"/>
          <c:y val="0.2218043090950077"/>
          <c:w val="0.51519280869112161"/>
          <c:h val="0.73785957279793668"/>
        </c:manualLayout>
      </c:layout>
      <c:scatterChart>
        <c:scatterStyle val="smoothMarker"/>
        <c:ser>
          <c:idx val="0"/>
          <c:order val="0"/>
          <c:tx>
            <c:strRef>
              <c:f>'NW Limits'!$B$2</c:f>
              <c:strCache>
                <c:ptCount val="1"/>
                <c:pt idx="0">
                  <c:v>Fwd %MAC, Nose Tire 300-310 PSI</c:v>
                </c:pt>
              </c:strCache>
            </c:strRef>
          </c:tx>
          <c:marker>
            <c:symbol val="none"/>
          </c:marker>
          <c:xVal>
            <c:numRef>
              <c:f>'NW Limits'!$A$3:$A$228</c:f>
              <c:numCache>
                <c:formatCode>#,##0</c:formatCode>
                <c:ptCount val="226"/>
                <c:pt idx="0">
                  <c:v>15000</c:v>
                </c:pt>
                <c:pt idx="1">
                  <c:v>15100</c:v>
                </c:pt>
                <c:pt idx="2">
                  <c:v>15200</c:v>
                </c:pt>
                <c:pt idx="3">
                  <c:v>15300</c:v>
                </c:pt>
                <c:pt idx="4">
                  <c:v>15400</c:v>
                </c:pt>
                <c:pt idx="5">
                  <c:v>15500</c:v>
                </c:pt>
                <c:pt idx="6">
                  <c:v>15600</c:v>
                </c:pt>
                <c:pt idx="7">
                  <c:v>15700</c:v>
                </c:pt>
                <c:pt idx="8">
                  <c:v>15800</c:v>
                </c:pt>
                <c:pt idx="9">
                  <c:v>15900</c:v>
                </c:pt>
                <c:pt idx="10">
                  <c:v>16000</c:v>
                </c:pt>
                <c:pt idx="11">
                  <c:v>16100</c:v>
                </c:pt>
                <c:pt idx="12">
                  <c:v>16200</c:v>
                </c:pt>
                <c:pt idx="13">
                  <c:v>16300</c:v>
                </c:pt>
                <c:pt idx="14">
                  <c:v>16400</c:v>
                </c:pt>
                <c:pt idx="15">
                  <c:v>16500</c:v>
                </c:pt>
                <c:pt idx="16">
                  <c:v>16600</c:v>
                </c:pt>
                <c:pt idx="17">
                  <c:v>16700</c:v>
                </c:pt>
                <c:pt idx="18">
                  <c:v>16800</c:v>
                </c:pt>
                <c:pt idx="19">
                  <c:v>16900</c:v>
                </c:pt>
                <c:pt idx="20">
                  <c:v>17000</c:v>
                </c:pt>
                <c:pt idx="21">
                  <c:v>17100</c:v>
                </c:pt>
                <c:pt idx="22">
                  <c:v>17200</c:v>
                </c:pt>
                <c:pt idx="23">
                  <c:v>17300</c:v>
                </c:pt>
                <c:pt idx="24">
                  <c:v>17400</c:v>
                </c:pt>
                <c:pt idx="25">
                  <c:v>17500</c:v>
                </c:pt>
                <c:pt idx="26">
                  <c:v>17600</c:v>
                </c:pt>
                <c:pt idx="27">
                  <c:v>17700</c:v>
                </c:pt>
                <c:pt idx="28">
                  <c:v>17800</c:v>
                </c:pt>
                <c:pt idx="29">
                  <c:v>17900</c:v>
                </c:pt>
                <c:pt idx="30">
                  <c:v>18000</c:v>
                </c:pt>
                <c:pt idx="31">
                  <c:v>18100</c:v>
                </c:pt>
                <c:pt idx="32">
                  <c:v>18200</c:v>
                </c:pt>
                <c:pt idx="33">
                  <c:v>18300</c:v>
                </c:pt>
                <c:pt idx="34">
                  <c:v>18400</c:v>
                </c:pt>
                <c:pt idx="35">
                  <c:v>18500</c:v>
                </c:pt>
                <c:pt idx="36">
                  <c:v>18600</c:v>
                </c:pt>
                <c:pt idx="37">
                  <c:v>18700</c:v>
                </c:pt>
                <c:pt idx="38">
                  <c:v>18800</c:v>
                </c:pt>
                <c:pt idx="39">
                  <c:v>18900</c:v>
                </c:pt>
                <c:pt idx="40">
                  <c:v>19000</c:v>
                </c:pt>
                <c:pt idx="41">
                  <c:v>19100</c:v>
                </c:pt>
                <c:pt idx="42">
                  <c:v>19200</c:v>
                </c:pt>
                <c:pt idx="43">
                  <c:v>19300</c:v>
                </c:pt>
                <c:pt idx="44">
                  <c:v>19400</c:v>
                </c:pt>
                <c:pt idx="45">
                  <c:v>19500</c:v>
                </c:pt>
                <c:pt idx="46">
                  <c:v>19600</c:v>
                </c:pt>
                <c:pt idx="47">
                  <c:v>19700</c:v>
                </c:pt>
                <c:pt idx="48">
                  <c:v>19800</c:v>
                </c:pt>
                <c:pt idx="49">
                  <c:v>19900</c:v>
                </c:pt>
                <c:pt idx="50">
                  <c:v>20000</c:v>
                </c:pt>
                <c:pt idx="51">
                  <c:v>20100</c:v>
                </c:pt>
                <c:pt idx="52">
                  <c:v>20200</c:v>
                </c:pt>
                <c:pt idx="53">
                  <c:v>20300</c:v>
                </c:pt>
                <c:pt idx="54">
                  <c:v>20400</c:v>
                </c:pt>
                <c:pt idx="55">
                  <c:v>20500</c:v>
                </c:pt>
                <c:pt idx="56">
                  <c:v>20600</c:v>
                </c:pt>
                <c:pt idx="57">
                  <c:v>20700</c:v>
                </c:pt>
                <c:pt idx="58">
                  <c:v>20800</c:v>
                </c:pt>
                <c:pt idx="59">
                  <c:v>20900</c:v>
                </c:pt>
                <c:pt idx="60">
                  <c:v>21000</c:v>
                </c:pt>
                <c:pt idx="61">
                  <c:v>21100</c:v>
                </c:pt>
                <c:pt idx="62">
                  <c:v>21200</c:v>
                </c:pt>
                <c:pt idx="63">
                  <c:v>21300</c:v>
                </c:pt>
                <c:pt idx="64">
                  <c:v>21400</c:v>
                </c:pt>
                <c:pt idx="65">
                  <c:v>21500</c:v>
                </c:pt>
                <c:pt idx="66">
                  <c:v>21600</c:v>
                </c:pt>
                <c:pt idx="67">
                  <c:v>21700</c:v>
                </c:pt>
                <c:pt idx="68">
                  <c:v>21800</c:v>
                </c:pt>
                <c:pt idx="69">
                  <c:v>21900</c:v>
                </c:pt>
                <c:pt idx="70">
                  <c:v>22000</c:v>
                </c:pt>
                <c:pt idx="71">
                  <c:v>22100</c:v>
                </c:pt>
                <c:pt idx="72">
                  <c:v>22200</c:v>
                </c:pt>
                <c:pt idx="73">
                  <c:v>22300</c:v>
                </c:pt>
                <c:pt idx="74">
                  <c:v>22400</c:v>
                </c:pt>
                <c:pt idx="75">
                  <c:v>22500</c:v>
                </c:pt>
                <c:pt idx="76">
                  <c:v>22600</c:v>
                </c:pt>
                <c:pt idx="77">
                  <c:v>22700</c:v>
                </c:pt>
                <c:pt idx="78">
                  <c:v>22800</c:v>
                </c:pt>
                <c:pt idx="79">
                  <c:v>22900</c:v>
                </c:pt>
                <c:pt idx="80">
                  <c:v>23000</c:v>
                </c:pt>
                <c:pt idx="81">
                  <c:v>23100</c:v>
                </c:pt>
                <c:pt idx="82">
                  <c:v>23200</c:v>
                </c:pt>
                <c:pt idx="83">
                  <c:v>23300</c:v>
                </c:pt>
                <c:pt idx="84">
                  <c:v>23400</c:v>
                </c:pt>
                <c:pt idx="85">
                  <c:v>23500</c:v>
                </c:pt>
                <c:pt idx="86">
                  <c:v>23600</c:v>
                </c:pt>
                <c:pt idx="87">
                  <c:v>23700</c:v>
                </c:pt>
                <c:pt idx="88">
                  <c:v>23800</c:v>
                </c:pt>
                <c:pt idx="89">
                  <c:v>23900</c:v>
                </c:pt>
                <c:pt idx="90">
                  <c:v>24000</c:v>
                </c:pt>
                <c:pt idx="91">
                  <c:v>24100</c:v>
                </c:pt>
                <c:pt idx="92">
                  <c:v>24200</c:v>
                </c:pt>
                <c:pt idx="93">
                  <c:v>24300</c:v>
                </c:pt>
                <c:pt idx="94">
                  <c:v>24400</c:v>
                </c:pt>
                <c:pt idx="95">
                  <c:v>24500</c:v>
                </c:pt>
                <c:pt idx="96">
                  <c:v>24600</c:v>
                </c:pt>
                <c:pt idx="97">
                  <c:v>24700</c:v>
                </c:pt>
                <c:pt idx="98">
                  <c:v>24800</c:v>
                </c:pt>
                <c:pt idx="99">
                  <c:v>24900</c:v>
                </c:pt>
                <c:pt idx="100">
                  <c:v>25000</c:v>
                </c:pt>
                <c:pt idx="101">
                  <c:v>25100</c:v>
                </c:pt>
                <c:pt idx="102">
                  <c:v>25200</c:v>
                </c:pt>
                <c:pt idx="103">
                  <c:v>25300</c:v>
                </c:pt>
                <c:pt idx="104">
                  <c:v>25400</c:v>
                </c:pt>
                <c:pt idx="105">
                  <c:v>25500</c:v>
                </c:pt>
                <c:pt idx="106">
                  <c:v>25600</c:v>
                </c:pt>
                <c:pt idx="107">
                  <c:v>25700</c:v>
                </c:pt>
                <c:pt idx="108">
                  <c:v>25800</c:v>
                </c:pt>
                <c:pt idx="109">
                  <c:v>25900</c:v>
                </c:pt>
                <c:pt idx="110">
                  <c:v>26000</c:v>
                </c:pt>
                <c:pt idx="111">
                  <c:v>26100</c:v>
                </c:pt>
                <c:pt idx="112">
                  <c:v>26200</c:v>
                </c:pt>
                <c:pt idx="113">
                  <c:v>26300</c:v>
                </c:pt>
                <c:pt idx="114">
                  <c:v>26400</c:v>
                </c:pt>
                <c:pt idx="115">
                  <c:v>26500</c:v>
                </c:pt>
                <c:pt idx="116">
                  <c:v>26600</c:v>
                </c:pt>
                <c:pt idx="117">
                  <c:v>26700</c:v>
                </c:pt>
                <c:pt idx="118">
                  <c:v>26800</c:v>
                </c:pt>
                <c:pt idx="119">
                  <c:v>26900</c:v>
                </c:pt>
                <c:pt idx="120">
                  <c:v>27000</c:v>
                </c:pt>
                <c:pt idx="121">
                  <c:v>27100</c:v>
                </c:pt>
                <c:pt idx="122">
                  <c:v>27200</c:v>
                </c:pt>
                <c:pt idx="123">
                  <c:v>27300</c:v>
                </c:pt>
                <c:pt idx="124">
                  <c:v>27400</c:v>
                </c:pt>
                <c:pt idx="125">
                  <c:v>27500</c:v>
                </c:pt>
                <c:pt idx="126">
                  <c:v>27600</c:v>
                </c:pt>
                <c:pt idx="127">
                  <c:v>27700</c:v>
                </c:pt>
                <c:pt idx="128">
                  <c:v>27800</c:v>
                </c:pt>
                <c:pt idx="129">
                  <c:v>27900</c:v>
                </c:pt>
                <c:pt idx="130">
                  <c:v>28000</c:v>
                </c:pt>
                <c:pt idx="131">
                  <c:v>28100</c:v>
                </c:pt>
                <c:pt idx="132">
                  <c:v>28200</c:v>
                </c:pt>
                <c:pt idx="133">
                  <c:v>28300</c:v>
                </c:pt>
                <c:pt idx="134">
                  <c:v>28400</c:v>
                </c:pt>
                <c:pt idx="135">
                  <c:v>28500</c:v>
                </c:pt>
                <c:pt idx="136">
                  <c:v>28600</c:v>
                </c:pt>
                <c:pt idx="137">
                  <c:v>28700</c:v>
                </c:pt>
                <c:pt idx="138">
                  <c:v>28800</c:v>
                </c:pt>
                <c:pt idx="139">
                  <c:v>28900</c:v>
                </c:pt>
                <c:pt idx="140">
                  <c:v>29000</c:v>
                </c:pt>
                <c:pt idx="141">
                  <c:v>29100</c:v>
                </c:pt>
                <c:pt idx="142">
                  <c:v>29200</c:v>
                </c:pt>
                <c:pt idx="143">
                  <c:v>29300</c:v>
                </c:pt>
                <c:pt idx="144">
                  <c:v>29400</c:v>
                </c:pt>
                <c:pt idx="145">
                  <c:v>29500</c:v>
                </c:pt>
                <c:pt idx="146">
                  <c:v>29600</c:v>
                </c:pt>
                <c:pt idx="147">
                  <c:v>29700</c:v>
                </c:pt>
                <c:pt idx="148">
                  <c:v>29800</c:v>
                </c:pt>
                <c:pt idx="149">
                  <c:v>29900</c:v>
                </c:pt>
                <c:pt idx="150">
                  <c:v>30000</c:v>
                </c:pt>
                <c:pt idx="151">
                  <c:v>30100</c:v>
                </c:pt>
                <c:pt idx="152">
                  <c:v>30200</c:v>
                </c:pt>
                <c:pt idx="153">
                  <c:v>30300</c:v>
                </c:pt>
                <c:pt idx="154">
                  <c:v>30400</c:v>
                </c:pt>
                <c:pt idx="155">
                  <c:v>30500</c:v>
                </c:pt>
                <c:pt idx="156">
                  <c:v>30600</c:v>
                </c:pt>
                <c:pt idx="157">
                  <c:v>30700</c:v>
                </c:pt>
                <c:pt idx="158">
                  <c:v>30800</c:v>
                </c:pt>
                <c:pt idx="159">
                  <c:v>30900</c:v>
                </c:pt>
                <c:pt idx="160">
                  <c:v>31000</c:v>
                </c:pt>
                <c:pt idx="161">
                  <c:v>31100</c:v>
                </c:pt>
                <c:pt idx="162">
                  <c:v>31200</c:v>
                </c:pt>
                <c:pt idx="163">
                  <c:v>31300</c:v>
                </c:pt>
                <c:pt idx="164">
                  <c:v>31400</c:v>
                </c:pt>
                <c:pt idx="165">
                  <c:v>31500</c:v>
                </c:pt>
                <c:pt idx="166">
                  <c:v>31600</c:v>
                </c:pt>
                <c:pt idx="167">
                  <c:v>31700</c:v>
                </c:pt>
                <c:pt idx="168">
                  <c:v>31800</c:v>
                </c:pt>
                <c:pt idx="169">
                  <c:v>31900</c:v>
                </c:pt>
                <c:pt idx="170">
                  <c:v>32000</c:v>
                </c:pt>
                <c:pt idx="171">
                  <c:v>32100</c:v>
                </c:pt>
                <c:pt idx="172">
                  <c:v>32200</c:v>
                </c:pt>
                <c:pt idx="173">
                  <c:v>32300</c:v>
                </c:pt>
                <c:pt idx="174">
                  <c:v>32400</c:v>
                </c:pt>
                <c:pt idx="175">
                  <c:v>32500</c:v>
                </c:pt>
                <c:pt idx="176">
                  <c:v>32600</c:v>
                </c:pt>
                <c:pt idx="177">
                  <c:v>32700</c:v>
                </c:pt>
                <c:pt idx="178">
                  <c:v>32800</c:v>
                </c:pt>
                <c:pt idx="179">
                  <c:v>32900</c:v>
                </c:pt>
                <c:pt idx="180">
                  <c:v>33000</c:v>
                </c:pt>
                <c:pt idx="181">
                  <c:v>33100</c:v>
                </c:pt>
                <c:pt idx="182">
                  <c:v>33200</c:v>
                </c:pt>
                <c:pt idx="183">
                  <c:v>33300</c:v>
                </c:pt>
                <c:pt idx="184">
                  <c:v>33400</c:v>
                </c:pt>
                <c:pt idx="185">
                  <c:v>33500</c:v>
                </c:pt>
                <c:pt idx="186">
                  <c:v>33600</c:v>
                </c:pt>
                <c:pt idx="187">
                  <c:v>33700</c:v>
                </c:pt>
                <c:pt idx="188">
                  <c:v>33800</c:v>
                </c:pt>
                <c:pt idx="189">
                  <c:v>33900</c:v>
                </c:pt>
                <c:pt idx="190">
                  <c:v>34000</c:v>
                </c:pt>
                <c:pt idx="191">
                  <c:v>34100</c:v>
                </c:pt>
                <c:pt idx="192">
                  <c:v>34200</c:v>
                </c:pt>
                <c:pt idx="193">
                  <c:v>34300</c:v>
                </c:pt>
                <c:pt idx="194">
                  <c:v>34400</c:v>
                </c:pt>
                <c:pt idx="195">
                  <c:v>34500</c:v>
                </c:pt>
                <c:pt idx="196">
                  <c:v>34600</c:v>
                </c:pt>
                <c:pt idx="197">
                  <c:v>34700</c:v>
                </c:pt>
                <c:pt idx="198">
                  <c:v>34800</c:v>
                </c:pt>
                <c:pt idx="199">
                  <c:v>34900</c:v>
                </c:pt>
                <c:pt idx="200">
                  <c:v>35000</c:v>
                </c:pt>
                <c:pt idx="201">
                  <c:v>35100</c:v>
                </c:pt>
                <c:pt idx="202">
                  <c:v>35200</c:v>
                </c:pt>
                <c:pt idx="203">
                  <c:v>35300</c:v>
                </c:pt>
                <c:pt idx="204">
                  <c:v>35400</c:v>
                </c:pt>
                <c:pt idx="205">
                  <c:v>35500</c:v>
                </c:pt>
                <c:pt idx="206">
                  <c:v>35600</c:v>
                </c:pt>
                <c:pt idx="207">
                  <c:v>35700</c:v>
                </c:pt>
                <c:pt idx="208">
                  <c:v>35800</c:v>
                </c:pt>
                <c:pt idx="209">
                  <c:v>35900</c:v>
                </c:pt>
                <c:pt idx="210">
                  <c:v>36000</c:v>
                </c:pt>
                <c:pt idx="211">
                  <c:v>36100</c:v>
                </c:pt>
                <c:pt idx="212">
                  <c:v>36200</c:v>
                </c:pt>
                <c:pt idx="213">
                  <c:v>36300</c:v>
                </c:pt>
                <c:pt idx="214">
                  <c:v>36400</c:v>
                </c:pt>
                <c:pt idx="215">
                  <c:v>36500</c:v>
                </c:pt>
                <c:pt idx="216">
                  <c:v>36600</c:v>
                </c:pt>
                <c:pt idx="217">
                  <c:v>36700</c:v>
                </c:pt>
                <c:pt idx="218">
                  <c:v>36800</c:v>
                </c:pt>
                <c:pt idx="219">
                  <c:v>36900</c:v>
                </c:pt>
                <c:pt idx="220">
                  <c:v>37000</c:v>
                </c:pt>
                <c:pt idx="221">
                  <c:v>37100</c:v>
                </c:pt>
                <c:pt idx="222">
                  <c:v>37200</c:v>
                </c:pt>
                <c:pt idx="223">
                  <c:v>37300</c:v>
                </c:pt>
                <c:pt idx="224">
                  <c:v>37400</c:v>
                </c:pt>
                <c:pt idx="225">
                  <c:v>37500</c:v>
                </c:pt>
              </c:numCache>
            </c:numRef>
          </c:xVal>
          <c:yVal>
            <c:numRef>
              <c:f>'NW Limits'!$B$3:$B$228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0.17</c:v>
                </c:pt>
                <c:pt idx="83">
                  <c:v>0.17199999999999999</c:v>
                </c:pt>
                <c:pt idx="84">
                  <c:v>0.17300000000000001</c:v>
                </c:pt>
                <c:pt idx="85">
                  <c:v>0.17499999999999999</c:v>
                </c:pt>
                <c:pt idx="86">
                  <c:v>0.17600000000000002</c:v>
                </c:pt>
                <c:pt idx="87">
                  <c:v>0.17800000000000002</c:v>
                </c:pt>
                <c:pt idx="88">
                  <c:v>0.17899999999999999</c:v>
                </c:pt>
                <c:pt idx="89">
                  <c:v>0.18100000000000002</c:v>
                </c:pt>
                <c:pt idx="90">
                  <c:v>0.182</c:v>
                </c:pt>
                <c:pt idx="91">
                  <c:v>0.183</c:v>
                </c:pt>
                <c:pt idx="92">
                  <c:v>0.185</c:v>
                </c:pt>
                <c:pt idx="93">
                  <c:v>0.18600000000000003</c:v>
                </c:pt>
                <c:pt idx="94">
                  <c:v>0.187</c:v>
                </c:pt>
                <c:pt idx="95">
                  <c:v>0.18899999999999997</c:v>
                </c:pt>
                <c:pt idx="96">
                  <c:v>0.19</c:v>
                </c:pt>
                <c:pt idx="97">
                  <c:v>0.191</c:v>
                </c:pt>
                <c:pt idx="98">
                  <c:v>0.193</c:v>
                </c:pt>
                <c:pt idx="99">
                  <c:v>0.19399999999999998</c:v>
                </c:pt>
                <c:pt idx="100">
                  <c:v>0.19500000000000001</c:v>
                </c:pt>
                <c:pt idx="101">
                  <c:v>0.19699999999999998</c:v>
                </c:pt>
                <c:pt idx="102">
                  <c:v>0.19800000000000001</c:v>
                </c:pt>
                <c:pt idx="103">
                  <c:v>0.19899999999999998</c:v>
                </c:pt>
                <c:pt idx="104">
                  <c:v>0.2</c:v>
                </c:pt>
                <c:pt idx="105">
                  <c:v>0.20199999999999999</c:v>
                </c:pt>
                <c:pt idx="106">
                  <c:v>0.20300000000000001</c:v>
                </c:pt>
                <c:pt idx="107">
                  <c:v>0.20399999999999999</c:v>
                </c:pt>
                <c:pt idx="108">
                  <c:v>0.20499999999999999</c:v>
                </c:pt>
                <c:pt idx="109">
                  <c:v>0.20600000000000002</c:v>
                </c:pt>
                <c:pt idx="110">
                  <c:v>0.20800000000000002</c:v>
                </c:pt>
                <c:pt idx="111">
                  <c:v>0.20899999999999999</c:v>
                </c:pt>
                <c:pt idx="112">
                  <c:v>0.21</c:v>
                </c:pt>
                <c:pt idx="113">
                  <c:v>0.21100000000000002</c:v>
                </c:pt>
                <c:pt idx="114">
                  <c:v>0.21199999999999999</c:v>
                </c:pt>
                <c:pt idx="115">
                  <c:v>0.21299999999999999</c:v>
                </c:pt>
                <c:pt idx="116">
                  <c:v>0.215</c:v>
                </c:pt>
                <c:pt idx="117">
                  <c:v>0.21600000000000003</c:v>
                </c:pt>
                <c:pt idx="118">
                  <c:v>0.217</c:v>
                </c:pt>
                <c:pt idx="119">
                  <c:v>0.218</c:v>
                </c:pt>
                <c:pt idx="120">
                  <c:v>0.21899999999999997</c:v>
                </c:pt>
                <c:pt idx="121">
                  <c:v>0.22</c:v>
                </c:pt>
                <c:pt idx="122">
                  <c:v>0.221</c:v>
                </c:pt>
                <c:pt idx="123">
                  <c:v>0.222</c:v>
                </c:pt>
                <c:pt idx="124">
                  <c:v>0.223</c:v>
                </c:pt>
                <c:pt idx="125">
                  <c:v>0.22399999999999998</c:v>
                </c:pt>
                <c:pt idx="126">
                  <c:v>0.22500000000000001</c:v>
                </c:pt>
                <c:pt idx="127">
                  <c:v>0.22699999999999998</c:v>
                </c:pt>
                <c:pt idx="128">
                  <c:v>0.22800000000000001</c:v>
                </c:pt>
                <c:pt idx="129">
                  <c:v>0.22899999999999998</c:v>
                </c:pt>
                <c:pt idx="130">
                  <c:v>0.23</c:v>
                </c:pt>
                <c:pt idx="131">
                  <c:v>0.23100000000000001</c:v>
                </c:pt>
                <c:pt idx="132">
                  <c:v>0.23199999999999998</c:v>
                </c:pt>
                <c:pt idx="133">
                  <c:v>0.23300000000000001</c:v>
                </c:pt>
                <c:pt idx="134">
                  <c:v>0.23399999999999999</c:v>
                </c:pt>
                <c:pt idx="135">
                  <c:v>0.23499999999999999</c:v>
                </c:pt>
                <c:pt idx="136">
                  <c:v>0.23600000000000002</c:v>
                </c:pt>
                <c:pt idx="137">
                  <c:v>0.23699999999999999</c:v>
                </c:pt>
                <c:pt idx="138">
                  <c:v>0.23800000000000002</c:v>
                </c:pt>
                <c:pt idx="139">
                  <c:v>0.23899999999999999</c:v>
                </c:pt>
                <c:pt idx="140">
                  <c:v>0.23899999999999999</c:v>
                </c:pt>
                <c:pt idx="141">
                  <c:v>0.24</c:v>
                </c:pt>
                <c:pt idx="142">
                  <c:v>0.24100000000000002</c:v>
                </c:pt>
                <c:pt idx="143">
                  <c:v>0.24199999999999999</c:v>
                </c:pt>
                <c:pt idx="144">
                  <c:v>0.24299999999999999</c:v>
                </c:pt>
                <c:pt idx="145">
                  <c:v>0.24399999999999999</c:v>
                </c:pt>
                <c:pt idx="146">
                  <c:v>0.245</c:v>
                </c:pt>
                <c:pt idx="147">
                  <c:v>0.24600000000000002</c:v>
                </c:pt>
                <c:pt idx="148">
                  <c:v>0.247</c:v>
                </c:pt>
                <c:pt idx="149">
                  <c:v>0.248</c:v>
                </c:pt>
                <c:pt idx="150">
                  <c:v>0.249</c:v>
                </c:pt>
                <c:pt idx="151">
                  <c:v>0.25</c:v>
                </c:pt>
                <c:pt idx="152">
                  <c:v>0.25</c:v>
                </c:pt>
                <c:pt idx="153">
                  <c:v>0.251</c:v>
                </c:pt>
                <c:pt idx="154">
                  <c:v>0.252</c:v>
                </c:pt>
                <c:pt idx="155">
                  <c:v>0.253</c:v>
                </c:pt>
                <c:pt idx="156">
                  <c:v>0.254</c:v>
                </c:pt>
                <c:pt idx="157">
                  <c:v>0.255</c:v>
                </c:pt>
                <c:pt idx="158">
                  <c:v>0.25600000000000001</c:v>
                </c:pt>
                <c:pt idx="159">
                  <c:v>0.25600000000000001</c:v>
                </c:pt>
                <c:pt idx="160">
                  <c:v>0.25700000000000001</c:v>
                </c:pt>
                <c:pt idx="161">
                  <c:v>0.25800000000000001</c:v>
                </c:pt>
                <c:pt idx="162">
                  <c:v>0.25900000000000001</c:v>
                </c:pt>
                <c:pt idx="163">
                  <c:v>0.26</c:v>
                </c:pt>
                <c:pt idx="164">
                  <c:v>0.26100000000000001</c:v>
                </c:pt>
                <c:pt idx="165">
                  <c:v>0.26100000000000001</c:v>
                </c:pt>
                <c:pt idx="166">
                  <c:v>0.26200000000000001</c:v>
                </c:pt>
                <c:pt idx="167">
                  <c:v>0.26300000000000001</c:v>
                </c:pt>
                <c:pt idx="168">
                  <c:v>0.26400000000000001</c:v>
                </c:pt>
                <c:pt idx="169">
                  <c:v>0.26500000000000001</c:v>
                </c:pt>
                <c:pt idx="170">
                  <c:v>0.26500000000000001</c:v>
                </c:pt>
                <c:pt idx="171">
                  <c:v>0.26600000000000001</c:v>
                </c:pt>
                <c:pt idx="172">
                  <c:v>0.26700000000000002</c:v>
                </c:pt>
                <c:pt idx="173">
                  <c:v>0.26800000000000002</c:v>
                </c:pt>
                <c:pt idx="174">
                  <c:v>0.26800000000000002</c:v>
                </c:pt>
                <c:pt idx="175">
                  <c:v>0.253</c:v>
                </c:pt>
                <c:pt idx="176">
                  <c:v>0.27</c:v>
                </c:pt>
                <c:pt idx="177">
                  <c:v>0.27100000000000002</c:v>
                </c:pt>
                <c:pt idx="178">
                  <c:v>0.27100000000000002</c:v>
                </c:pt>
                <c:pt idx="179">
                  <c:v>0.27200000000000002</c:v>
                </c:pt>
                <c:pt idx="180">
                  <c:v>0.27300000000000002</c:v>
                </c:pt>
                <c:pt idx="181">
                  <c:v>0.27399999999999997</c:v>
                </c:pt>
                <c:pt idx="182">
                  <c:v>0.27399999999999997</c:v>
                </c:pt>
                <c:pt idx="183">
                  <c:v>0.27500000000000002</c:v>
                </c:pt>
                <c:pt idx="184">
                  <c:v>0.27600000000000002</c:v>
                </c:pt>
                <c:pt idx="185">
                  <c:v>0.27699999999999997</c:v>
                </c:pt>
                <c:pt idx="186">
                  <c:v>0.27699999999999997</c:v>
                </c:pt>
                <c:pt idx="187">
                  <c:v>0.27800000000000002</c:v>
                </c:pt>
                <c:pt idx="188">
                  <c:v>0.27899999999999997</c:v>
                </c:pt>
                <c:pt idx="189">
                  <c:v>0.27899999999999997</c:v>
                </c:pt>
                <c:pt idx="190">
                  <c:v>0.28000000000000003</c:v>
                </c:pt>
                <c:pt idx="191">
                  <c:v>0.28100000000000003</c:v>
                </c:pt>
                <c:pt idx="192">
                  <c:v>0.28100000000000003</c:v>
                </c:pt>
                <c:pt idx="193">
                  <c:v>0.28199999999999997</c:v>
                </c:pt>
                <c:pt idx="194">
                  <c:v>0.28300000000000003</c:v>
                </c:pt>
                <c:pt idx="195">
                  <c:v>0.28300000000000003</c:v>
                </c:pt>
                <c:pt idx="196">
                  <c:v>0.28399999999999997</c:v>
                </c:pt>
                <c:pt idx="197">
                  <c:v>0.28499999999999998</c:v>
                </c:pt>
                <c:pt idx="198">
                  <c:v>0.28499999999999998</c:v>
                </c:pt>
                <c:pt idx="199">
                  <c:v>0.28600000000000003</c:v>
                </c:pt>
                <c:pt idx="200">
                  <c:v>0.28699999999999998</c:v>
                </c:pt>
                <c:pt idx="201">
                  <c:v>0.28699999999999998</c:v>
                </c:pt>
                <c:pt idx="202">
                  <c:v>0.28800000000000003</c:v>
                </c:pt>
                <c:pt idx="203">
                  <c:v>0.28899999999999998</c:v>
                </c:pt>
                <c:pt idx="204">
                  <c:v>0.28899999999999998</c:v>
                </c:pt>
                <c:pt idx="205">
                  <c:v>0.28999999999999998</c:v>
                </c:pt>
                <c:pt idx="206">
                  <c:v>0.29100000000000004</c:v>
                </c:pt>
                <c:pt idx="207">
                  <c:v>0.29100000000000004</c:v>
                </c:pt>
                <c:pt idx="208">
                  <c:v>0.29199999999999998</c:v>
                </c:pt>
                <c:pt idx="209">
                  <c:v>0.29299999999999998</c:v>
                </c:pt>
                <c:pt idx="210">
                  <c:v>0.29299999999999998</c:v>
                </c:pt>
                <c:pt idx="211">
                  <c:v>0.29399999999999998</c:v>
                </c:pt>
                <c:pt idx="212">
                  <c:v>0.29399999999999998</c:v>
                </c:pt>
                <c:pt idx="213">
                  <c:v>0.29499999999999998</c:v>
                </c:pt>
                <c:pt idx="214">
                  <c:v>0.29600000000000004</c:v>
                </c:pt>
                <c:pt idx="215">
                  <c:v>0.29600000000000004</c:v>
                </c:pt>
                <c:pt idx="216">
                  <c:v>0.29699999999999999</c:v>
                </c:pt>
                <c:pt idx="217">
                  <c:v>0.29699999999999999</c:v>
                </c:pt>
                <c:pt idx="218">
                  <c:v>0.29799999999999999</c:v>
                </c:pt>
                <c:pt idx="219">
                  <c:v>0.29899999999999999</c:v>
                </c:pt>
                <c:pt idx="220">
                  <c:v>0.29899999999999999</c:v>
                </c:pt>
                <c:pt idx="221">
                  <c:v>0.3</c:v>
                </c:pt>
                <c:pt idx="222">
                  <c:v>0.3</c:v>
                </c:pt>
                <c:pt idx="223">
                  <c:v>0.30099999999999999</c:v>
                </c:pt>
                <c:pt idx="224">
                  <c:v>0.30099999999999999</c:v>
                </c:pt>
                <c:pt idx="225">
                  <c:v>0.30199999999999999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'NW Limits'!$C$2</c:f>
              <c:strCache>
                <c:ptCount val="1"/>
                <c:pt idx="0">
                  <c:v>Fwd %MAC, Nose Tire 255-265 PSI</c:v>
                </c:pt>
              </c:strCache>
            </c:strRef>
          </c:tx>
          <c:marker>
            <c:symbol val="none"/>
          </c:marker>
          <c:xVal>
            <c:numRef>
              <c:f>'NW Limits'!$A$3:$A$228</c:f>
              <c:numCache>
                <c:formatCode>#,##0</c:formatCode>
                <c:ptCount val="226"/>
                <c:pt idx="0">
                  <c:v>15000</c:v>
                </c:pt>
                <c:pt idx="1">
                  <c:v>15100</c:v>
                </c:pt>
                <c:pt idx="2">
                  <c:v>15200</c:v>
                </c:pt>
                <c:pt idx="3">
                  <c:v>15300</c:v>
                </c:pt>
                <c:pt idx="4">
                  <c:v>15400</c:v>
                </c:pt>
                <c:pt idx="5">
                  <c:v>15500</c:v>
                </c:pt>
                <c:pt idx="6">
                  <c:v>15600</c:v>
                </c:pt>
                <c:pt idx="7">
                  <c:v>15700</c:v>
                </c:pt>
                <c:pt idx="8">
                  <c:v>15800</c:v>
                </c:pt>
                <c:pt idx="9">
                  <c:v>15900</c:v>
                </c:pt>
                <c:pt idx="10">
                  <c:v>16000</c:v>
                </c:pt>
                <c:pt idx="11">
                  <c:v>16100</c:v>
                </c:pt>
                <c:pt idx="12">
                  <c:v>16200</c:v>
                </c:pt>
                <c:pt idx="13">
                  <c:v>16300</c:v>
                </c:pt>
                <c:pt idx="14">
                  <c:v>16400</c:v>
                </c:pt>
                <c:pt idx="15">
                  <c:v>16500</c:v>
                </c:pt>
                <c:pt idx="16">
                  <c:v>16600</c:v>
                </c:pt>
                <c:pt idx="17">
                  <c:v>16700</c:v>
                </c:pt>
                <c:pt idx="18">
                  <c:v>16800</c:v>
                </c:pt>
                <c:pt idx="19">
                  <c:v>16900</c:v>
                </c:pt>
                <c:pt idx="20">
                  <c:v>17000</c:v>
                </c:pt>
                <c:pt idx="21">
                  <c:v>17100</c:v>
                </c:pt>
                <c:pt idx="22">
                  <c:v>17200</c:v>
                </c:pt>
                <c:pt idx="23">
                  <c:v>17300</c:v>
                </c:pt>
                <c:pt idx="24">
                  <c:v>17400</c:v>
                </c:pt>
                <c:pt idx="25">
                  <c:v>17500</c:v>
                </c:pt>
                <c:pt idx="26">
                  <c:v>17600</c:v>
                </c:pt>
                <c:pt idx="27">
                  <c:v>17700</c:v>
                </c:pt>
                <c:pt idx="28">
                  <c:v>17800</c:v>
                </c:pt>
                <c:pt idx="29">
                  <c:v>17900</c:v>
                </c:pt>
                <c:pt idx="30">
                  <c:v>18000</c:v>
                </c:pt>
                <c:pt idx="31">
                  <c:v>18100</c:v>
                </c:pt>
                <c:pt idx="32">
                  <c:v>18200</c:v>
                </c:pt>
                <c:pt idx="33">
                  <c:v>18300</c:v>
                </c:pt>
                <c:pt idx="34">
                  <c:v>18400</c:v>
                </c:pt>
                <c:pt idx="35">
                  <c:v>18500</c:v>
                </c:pt>
                <c:pt idx="36">
                  <c:v>18600</c:v>
                </c:pt>
                <c:pt idx="37">
                  <c:v>18700</c:v>
                </c:pt>
                <c:pt idx="38">
                  <c:v>18800</c:v>
                </c:pt>
                <c:pt idx="39">
                  <c:v>18900</c:v>
                </c:pt>
                <c:pt idx="40">
                  <c:v>19000</c:v>
                </c:pt>
                <c:pt idx="41">
                  <c:v>19100</c:v>
                </c:pt>
                <c:pt idx="42">
                  <c:v>19200</c:v>
                </c:pt>
                <c:pt idx="43">
                  <c:v>19300</c:v>
                </c:pt>
                <c:pt idx="44">
                  <c:v>19400</c:v>
                </c:pt>
                <c:pt idx="45">
                  <c:v>19500</c:v>
                </c:pt>
                <c:pt idx="46">
                  <c:v>19600</c:v>
                </c:pt>
                <c:pt idx="47">
                  <c:v>19700</c:v>
                </c:pt>
                <c:pt idx="48">
                  <c:v>19800</c:v>
                </c:pt>
                <c:pt idx="49">
                  <c:v>19900</c:v>
                </c:pt>
                <c:pt idx="50">
                  <c:v>20000</c:v>
                </c:pt>
                <c:pt idx="51">
                  <c:v>20100</c:v>
                </c:pt>
                <c:pt idx="52">
                  <c:v>20200</c:v>
                </c:pt>
                <c:pt idx="53">
                  <c:v>20300</c:v>
                </c:pt>
                <c:pt idx="54">
                  <c:v>20400</c:v>
                </c:pt>
                <c:pt idx="55">
                  <c:v>20500</c:v>
                </c:pt>
                <c:pt idx="56">
                  <c:v>20600</c:v>
                </c:pt>
                <c:pt idx="57">
                  <c:v>20700</c:v>
                </c:pt>
                <c:pt idx="58">
                  <c:v>20800</c:v>
                </c:pt>
                <c:pt idx="59">
                  <c:v>20900</c:v>
                </c:pt>
                <c:pt idx="60">
                  <c:v>21000</c:v>
                </c:pt>
                <c:pt idx="61">
                  <c:v>21100</c:v>
                </c:pt>
                <c:pt idx="62">
                  <c:v>21200</c:v>
                </c:pt>
                <c:pt idx="63">
                  <c:v>21300</c:v>
                </c:pt>
                <c:pt idx="64">
                  <c:v>21400</c:v>
                </c:pt>
                <c:pt idx="65">
                  <c:v>21500</c:v>
                </c:pt>
                <c:pt idx="66">
                  <c:v>21600</c:v>
                </c:pt>
                <c:pt idx="67">
                  <c:v>21700</c:v>
                </c:pt>
                <c:pt idx="68">
                  <c:v>21800</c:v>
                </c:pt>
                <c:pt idx="69">
                  <c:v>21900</c:v>
                </c:pt>
                <c:pt idx="70">
                  <c:v>22000</c:v>
                </c:pt>
                <c:pt idx="71">
                  <c:v>22100</c:v>
                </c:pt>
                <c:pt idx="72">
                  <c:v>22200</c:v>
                </c:pt>
                <c:pt idx="73">
                  <c:v>22300</c:v>
                </c:pt>
                <c:pt idx="74">
                  <c:v>22400</c:v>
                </c:pt>
                <c:pt idx="75">
                  <c:v>22500</c:v>
                </c:pt>
                <c:pt idx="76">
                  <c:v>22600</c:v>
                </c:pt>
                <c:pt idx="77">
                  <c:v>22700</c:v>
                </c:pt>
                <c:pt idx="78">
                  <c:v>22800</c:v>
                </c:pt>
                <c:pt idx="79">
                  <c:v>22900</c:v>
                </c:pt>
                <c:pt idx="80">
                  <c:v>23000</c:v>
                </c:pt>
                <c:pt idx="81">
                  <c:v>23100</c:v>
                </c:pt>
                <c:pt idx="82">
                  <c:v>23200</c:v>
                </c:pt>
                <c:pt idx="83">
                  <c:v>23300</c:v>
                </c:pt>
                <c:pt idx="84">
                  <c:v>23400</c:v>
                </c:pt>
                <c:pt idx="85">
                  <c:v>23500</c:v>
                </c:pt>
                <c:pt idx="86">
                  <c:v>23600</c:v>
                </c:pt>
                <c:pt idx="87">
                  <c:v>23700</c:v>
                </c:pt>
                <c:pt idx="88">
                  <c:v>23800</c:v>
                </c:pt>
                <c:pt idx="89">
                  <c:v>23900</c:v>
                </c:pt>
                <c:pt idx="90">
                  <c:v>24000</c:v>
                </c:pt>
                <c:pt idx="91">
                  <c:v>24100</c:v>
                </c:pt>
                <c:pt idx="92">
                  <c:v>24200</c:v>
                </c:pt>
                <c:pt idx="93">
                  <c:v>24300</c:v>
                </c:pt>
                <c:pt idx="94">
                  <c:v>24400</c:v>
                </c:pt>
                <c:pt idx="95">
                  <c:v>24500</c:v>
                </c:pt>
                <c:pt idx="96">
                  <c:v>24600</c:v>
                </c:pt>
                <c:pt idx="97">
                  <c:v>24700</c:v>
                </c:pt>
                <c:pt idx="98">
                  <c:v>24800</c:v>
                </c:pt>
                <c:pt idx="99">
                  <c:v>24900</c:v>
                </c:pt>
                <c:pt idx="100">
                  <c:v>25000</c:v>
                </c:pt>
                <c:pt idx="101">
                  <c:v>25100</c:v>
                </c:pt>
                <c:pt idx="102">
                  <c:v>25200</c:v>
                </c:pt>
                <c:pt idx="103">
                  <c:v>25300</c:v>
                </c:pt>
                <c:pt idx="104">
                  <c:v>25400</c:v>
                </c:pt>
                <c:pt idx="105">
                  <c:v>25500</c:v>
                </c:pt>
                <c:pt idx="106">
                  <c:v>25600</c:v>
                </c:pt>
                <c:pt idx="107">
                  <c:v>25700</c:v>
                </c:pt>
                <c:pt idx="108">
                  <c:v>25800</c:v>
                </c:pt>
                <c:pt idx="109">
                  <c:v>25900</c:v>
                </c:pt>
                <c:pt idx="110">
                  <c:v>26000</c:v>
                </c:pt>
                <c:pt idx="111">
                  <c:v>26100</c:v>
                </c:pt>
                <c:pt idx="112">
                  <c:v>26200</c:v>
                </c:pt>
                <c:pt idx="113">
                  <c:v>26300</c:v>
                </c:pt>
                <c:pt idx="114">
                  <c:v>26400</c:v>
                </c:pt>
                <c:pt idx="115">
                  <c:v>26500</c:v>
                </c:pt>
                <c:pt idx="116">
                  <c:v>26600</c:v>
                </c:pt>
                <c:pt idx="117">
                  <c:v>26700</c:v>
                </c:pt>
                <c:pt idx="118">
                  <c:v>26800</c:v>
                </c:pt>
                <c:pt idx="119">
                  <c:v>26900</c:v>
                </c:pt>
                <c:pt idx="120">
                  <c:v>27000</c:v>
                </c:pt>
                <c:pt idx="121">
                  <c:v>27100</c:v>
                </c:pt>
                <c:pt idx="122">
                  <c:v>27200</c:v>
                </c:pt>
                <c:pt idx="123">
                  <c:v>27300</c:v>
                </c:pt>
                <c:pt idx="124">
                  <c:v>27400</c:v>
                </c:pt>
                <c:pt idx="125">
                  <c:v>27500</c:v>
                </c:pt>
                <c:pt idx="126">
                  <c:v>27600</c:v>
                </c:pt>
                <c:pt idx="127">
                  <c:v>27700</c:v>
                </c:pt>
                <c:pt idx="128">
                  <c:v>27800</c:v>
                </c:pt>
                <c:pt idx="129">
                  <c:v>27900</c:v>
                </c:pt>
                <c:pt idx="130">
                  <c:v>28000</c:v>
                </c:pt>
                <c:pt idx="131">
                  <c:v>28100</c:v>
                </c:pt>
                <c:pt idx="132">
                  <c:v>28200</c:v>
                </c:pt>
                <c:pt idx="133">
                  <c:v>28300</c:v>
                </c:pt>
                <c:pt idx="134">
                  <c:v>28400</c:v>
                </c:pt>
                <c:pt idx="135">
                  <c:v>28500</c:v>
                </c:pt>
                <c:pt idx="136">
                  <c:v>28600</c:v>
                </c:pt>
                <c:pt idx="137">
                  <c:v>28700</c:v>
                </c:pt>
                <c:pt idx="138">
                  <c:v>28800</c:v>
                </c:pt>
                <c:pt idx="139">
                  <c:v>28900</c:v>
                </c:pt>
                <c:pt idx="140">
                  <c:v>29000</c:v>
                </c:pt>
                <c:pt idx="141">
                  <c:v>29100</c:v>
                </c:pt>
                <c:pt idx="142">
                  <c:v>29200</c:v>
                </c:pt>
                <c:pt idx="143">
                  <c:v>29300</c:v>
                </c:pt>
                <c:pt idx="144">
                  <c:v>29400</c:v>
                </c:pt>
                <c:pt idx="145">
                  <c:v>29500</c:v>
                </c:pt>
                <c:pt idx="146">
                  <c:v>29600</c:v>
                </c:pt>
                <c:pt idx="147">
                  <c:v>29700</c:v>
                </c:pt>
                <c:pt idx="148">
                  <c:v>29800</c:v>
                </c:pt>
                <c:pt idx="149">
                  <c:v>29900</c:v>
                </c:pt>
                <c:pt idx="150">
                  <c:v>30000</c:v>
                </c:pt>
                <c:pt idx="151">
                  <c:v>30100</c:v>
                </c:pt>
                <c:pt idx="152">
                  <c:v>30200</c:v>
                </c:pt>
                <c:pt idx="153">
                  <c:v>30300</c:v>
                </c:pt>
                <c:pt idx="154">
                  <c:v>30400</c:v>
                </c:pt>
                <c:pt idx="155">
                  <c:v>30500</c:v>
                </c:pt>
                <c:pt idx="156">
                  <c:v>30600</c:v>
                </c:pt>
                <c:pt idx="157">
                  <c:v>30700</c:v>
                </c:pt>
                <c:pt idx="158">
                  <c:v>30800</c:v>
                </c:pt>
                <c:pt idx="159">
                  <c:v>30900</c:v>
                </c:pt>
                <c:pt idx="160">
                  <c:v>31000</c:v>
                </c:pt>
                <c:pt idx="161">
                  <c:v>31100</c:v>
                </c:pt>
                <c:pt idx="162">
                  <c:v>31200</c:v>
                </c:pt>
                <c:pt idx="163">
                  <c:v>31300</c:v>
                </c:pt>
                <c:pt idx="164">
                  <c:v>31400</c:v>
                </c:pt>
                <c:pt idx="165">
                  <c:v>31500</c:v>
                </c:pt>
                <c:pt idx="166">
                  <c:v>31600</c:v>
                </c:pt>
                <c:pt idx="167">
                  <c:v>31700</c:v>
                </c:pt>
                <c:pt idx="168">
                  <c:v>31800</c:v>
                </c:pt>
                <c:pt idx="169">
                  <c:v>31900</c:v>
                </c:pt>
                <c:pt idx="170">
                  <c:v>32000</c:v>
                </c:pt>
                <c:pt idx="171">
                  <c:v>32100</c:v>
                </c:pt>
                <c:pt idx="172">
                  <c:v>32200</c:v>
                </c:pt>
                <c:pt idx="173">
                  <c:v>32300</c:v>
                </c:pt>
                <c:pt idx="174">
                  <c:v>32400</c:v>
                </c:pt>
                <c:pt idx="175">
                  <c:v>32500</c:v>
                </c:pt>
                <c:pt idx="176">
                  <c:v>32600</c:v>
                </c:pt>
                <c:pt idx="177">
                  <c:v>32700</c:v>
                </c:pt>
                <c:pt idx="178">
                  <c:v>32800</c:v>
                </c:pt>
                <c:pt idx="179">
                  <c:v>32900</c:v>
                </c:pt>
                <c:pt idx="180">
                  <c:v>33000</c:v>
                </c:pt>
                <c:pt idx="181">
                  <c:v>33100</c:v>
                </c:pt>
                <c:pt idx="182">
                  <c:v>33200</c:v>
                </c:pt>
                <c:pt idx="183">
                  <c:v>33300</c:v>
                </c:pt>
                <c:pt idx="184">
                  <c:v>33400</c:v>
                </c:pt>
                <c:pt idx="185">
                  <c:v>33500</c:v>
                </c:pt>
                <c:pt idx="186">
                  <c:v>33600</c:v>
                </c:pt>
                <c:pt idx="187">
                  <c:v>33700</c:v>
                </c:pt>
                <c:pt idx="188">
                  <c:v>33800</c:v>
                </c:pt>
                <c:pt idx="189">
                  <c:v>33900</c:v>
                </c:pt>
                <c:pt idx="190">
                  <c:v>34000</c:v>
                </c:pt>
                <c:pt idx="191">
                  <c:v>34100</c:v>
                </c:pt>
                <c:pt idx="192">
                  <c:v>34200</c:v>
                </c:pt>
                <c:pt idx="193">
                  <c:v>34300</c:v>
                </c:pt>
                <c:pt idx="194">
                  <c:v>34400</c:v>
                </c:pt>
                <c:pt idx="195">
                  <c:v>34500</c:v>
                </c:pt>
                <c:pt idx="196">
                  <c:v>34600</c:v>
                </c:pt>
                <c:pt idx="197">
                  <c:v>34700</c:v>
                </c:pt>
                <c:pt idx="198">
                  <c:v>34800</c:v>
                </c:pt>
                <c:pt idx="199">
                  <c:v>34900</c:v>
                </c:pt>
                <c:pt idx="200">
                  <c:v>35000</c:v>
                </c:pt>
                <c:pt idx="201">
                  <c:v>35100</c:v>
                </c:pt>
                <c:pt idx="202">
                  <c:v>35200</c:v>
                </c:pt>
                <c:pt idx="203">
                  <c:v>35300</c:v>
                </c:pt>
                <c:pt idx="204">
                  <c:v>35400</c:v>
                </c:pt>
                <c:pt idx="205">
                  <c:v>35500</c:v>
                </c:pt>
                <c:pt idx="206">
                  <c:v>35600</c:v>
                </c:pt>
                <c:pt idx="207">
                  <c:v>35700</c:v>
                </c:pt>
                <c:pt idx="208">
                  <c:v>35800</c:v>
                </c:pt>
                <c:pt idx="209">
                  <c:v>35900</c:v>
                </c:pt>
                <c:pt idx="210">
                  <c:v>36000</c:v>
                </c:pt>
                <c:pt idx="211">
                  <c:v>36100</c:v>
                </c:pt>
                <c:pt idx="212">
                  <c:v>36200</c:v>
                </c:pt>
                <c:pt idx="213">
                  <c:v>36300</c:v>
                </c:pt>
                <c:pt idx="214">
                  <c:v>36400</c:v>
                </c:pt>
                <c:pt idx="215">
                  <c:v>36500</c:v>
                </c:pt>
                <c:pt idx="216">
                  <c:v>36600</c:v>
                </c:pt>
                <c:pt idx="217">
                  <c:v>36700</c:v>
                </c:pt>
                <c:pt idx="218">
                  <c:v>36800</c:v>
                </c:pt>
                <c:pt idx="219">
                  <c:v>36900</c:v>
                </c:pt>
                <c:pt idx="220">
                  <c:v>37000</c:v>
                </c:pt>
                <c:pt idx="221">
                  <c:v>37100</c:v>
                </c:pt>
                <c:pt idx="222">
                  <c:v>37200</c:v>
                </c:pt>
                <c:pt idx="223">
                  <c:v>37300</c:v>
                </c:pt>
                <c:pt idx="224">
                  <c:v>37400</c:v>
                </c:pt>
                <c:pt idx="225">
                  <c:v>37500</c:v>
                </c:pt>
              </c:numCache>
            </c:numRef>
          </c:xVal>
          <c:yVal>
            <c:numRef>
              <c:f>'NW Limits'!$C$3:$C$228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0.14099999999999999</c:v>
                </c:pt>
                <c:pt idx="43">
                  <c:v>0.14300000000000002</c:v>
                </c:pt>
                <c:pt idx="44">
                  <c:v>0.14499999999999999</c:v>
                </c:pt>
                <c:pt idx="45">
                  <c:v>0.14699999999999999</c:v>
                </c:pt>
                <c:pt idx="46">
                  <c:v>0.14899999999999999</c:v>
                </c:pt>
                <c:pt idx="47">
                  <c:v>0.151</c:v>
                </c:pt>
                <c:pt idx="48">
                  <c:v>0.152</c:v>
                </c:pt>
                <c:pt idx="49">
                  <c:v>0.154</c:v>
                </c:pt>
                <c:pt idx="50">
                  <c:v>0.156</c:v>
                </c:pt>
                <c:pt idx="51">
                  <c:v>0.158</c:v>
                </c:pt>
                <c:pt idx="52">
                  <c:v>0.16</c:v>
                </c:pt>
                <c:pt idx="53">
                  <c:v>0.161</c:v>
                </c:pt>
                <c:pt idx="54">
                  <c:v>0.16300000000000001</c:v>
                </c:pt>
                <c:pt idx="55">
                  <c:v>0.16500000000000001</c:v>
                </c:pt>
                <c:pt idx="56">
                  <c:v>0.16699999999999998</c:v>
                </c:pt>
                <c:pt idx="57">
                  <c:v>0.16800000000000001</c:v>
                </c:pt>
                <c:pt idx="58">
                  <c:v>0.17</c:v>
                </c:pt>
                <c:pt idx="59">
                  <c:v>0.17199999999999999</c:v>
                </c:pt>
                <c:pt idx="60">
                  <c:v>0.17300000000000001</c:v>
                </c:pt>
                <c:pt idx="61">
                  <c:v>0.17499999999999999</c:v>
                </c:pt>
                <c:pt idx="62">
                  <c:v>0.17600000000000002</c:v>
                </c:pt>
                <c:pt idx="63">
                  <c:v>0.17800000000000002</c:v>
                </c:pt>
                <c:pt idx="64">
                  <c:v>0.18</c:v>
                </c:pt>
                <c:pt idx="65">
                  <c:v>0.18100000000000002</c:v>
                </c:pt>
                <c:pt idx="66">
                  <c:v>0.183</c:v>
                </c:pt>
                <c:pt idx="67">
                  <c:v>0.184</c:v>
                </c:pt>
                <c:pt idx="68">
                  <c:v>0.18600000000000003</c:v>
                </c:pt>
                <c:pt idx="69">
                  <c:v>0.187</c:v>
                </c:pt>
                <c:pt idx="70">
                  <c:v>0.18899999999999997</c:v>
                </c:pt>
                <c:pt idx="71">
                  <c:v>0.19</c:v>
                </c:pt>
                <c:pt idx="72">
                  <c:v>0.192</c:v>
                </c:pt>
                <c:pt idx="73">
                  <c:v>0.193</c:v>
                </c:pt>
                <c:pt idx="74">
                  <c:v>0.19500000000000001</c:v>
                </c:pt>
                <c:pt idx="75">
                  <c:v>0.19600000000000001</c:v>
                </c:pt>
                <c:pt idx="76">
                  <c:v>0.19699999999999998</c:v>
                </c:pt>
                <c:pt idx="77">
                  <c:v>0.19899999999999998</c:v>
                </c:pt>
                <c:pt idx="78">
                  <c:v>0.2</c:v>
                </c:pt>
                <c:pt idx="79">
                  <c:v>0.20199999999999999</c:v>
                </c:pt>
                <c:pt idx="80">
                  <c:v>0.20300000000000001</c:v>
                </c:pt>
                <c:pt idx="81">
                  <c:v>0.20399999999999999</c:v>
                </c:pt>
                <c:pt idx="82">
                  <c:v>0.20600000000000002</c:v>
                </c:pt>
                <c:pt idx="83">
                  <c:v>0.20699999999999999</c:v>
                </c:pt>
                <c:pt idx="84">
                  <c:v>0.20800000000000002</c:v>
                </c:pt>
                <c:pt idx="85">
                  <c:v>0.21</c:v>
                </c:pt>
                <c:pt idx="86">
                  <c:v>0.21100000000000002</c:v>
                </c:pt>
                <c:pt idx="87">
                  <c:v>0.21199999999999999</c:v>
                </c:pt>
                <c:pt idx="88">
                  <c:v>0.21299999999999999</c:v>
                </c:pt>
                <c:pt idx="89">
                  <c:v>0.215</c:v>
                </c:pt>
                <c:pt idx="90">
                  <c:v>0.21600000000000003</c:v>
                </c:pt>
                <c:pt idx="91">
                  <c:v>0.217</c:v>
                </c:pt>
                <c:pt idx="92">
                  <c:v>0.218</c:v>
                </c:pt>
                <c:pt idx="93">
                  <c:v>0.22</c:v>
                </c:pt>
                <c:pt idx="94">
                  <c:v>0.221</c:v>
                </c:pt>
                <c:pt idx="95">
                  <c:v>0.222</c:v>
                </c:pt>
                <c:pt idx="96">
                  <c:v>0.223</c:v>
                </c:pt>
                <c:pt idx="97">
                  <c:v>0.22399999999999998</c:v>
                </c:pt>
                <c:pt idx="98">
                  <c:v>0.22600000000000001</c:v>
                </c:pt>
                <c:pt idx="99">
                  <c:v>0.22699999999999998</c:v>
                </c:pt>
                <c:pt idx="100">
                  <c:v>0.22800000000000001</c:v>
                </c:pt>
                <c:pt idx="101">
                  <c:v>0.22899999999999998</c:v>
                </c:pt>
                <c:pt idx="102">
                  <c:v>0.23</c:v>
                </c:pt>
                <c:pt idx="103">
                  <c:v>0.23100000000000001</c:v>
                </c:pt>
                <c:pt idx="104">
                  <c:v>0.23199999999999998</c:v>
                </c:pt>
                <c:pt idx="105">
                  <c:v>0.23399999999999999</c:v>
                </c:pt>
                <c:pt idx="106">
                  <c:v>0.23499999999999999</c:v>
                </c:pt>
                <c:pt idx="107">
                  <c:v>0.23600000000000002</c:v>
                </c:pt>
                <c:pt idx="108">
                  <c:v>0.23699999999999999</c:v>
                </c:pt>
                <c:pt idx="109">
                  <c:v>0.23800000000000002</c:v>
                </c:pt>
                <c:pt idx="110">
                  <c:v>0.23899999999999999</c:v>
                </c:pt>
                <c:pt idx="111">
                  <c:v>0.24</c:v>
                </c:pt>
                <c:pt idx="112">
                  <c:v>0.24100000000000002</c:v>
                </c:pt>
                <c:pt idx="113">
                  <c:v>0.24199999999999999</c:v>
                </c:pt>
                <c:pt idx="114">
                  <c:v>0.24299999999999999</c:v>
                </c:pt>
                <c:pt idx="115">
                  <c:v>0.24399999999999999</c:v>
                </c:pt>
                <c:pt idx="116">
                  <c:v>0.245</c:v>
                </c:pt>
                <c:pt idx="117">
                  <c:v>0.24600000000000002</c:v>
                </c:pt>
                <c:pt idx="118">
                  <c:v>0.247</c:v>
                </c:pt>
                <c:pt idx="119">
                  <c:v>0.248</c:v>
                </c:pt>
                <c:pt idx="120">
                  <c:v>0.249</c:v>
                </c:pt>
                <c:pt idx="121">
                  <c:v>0.25</c:v>
                </c:pt>
                <c:pt idx="122">
                  <c:v>0.251</c:v>
                </c:pt>
                <c:pt idx="123">
                  <c:v>0.252</c:v>
                </c:pt>
                <c:pt idx="124">
                  <c:v>0.253</c:v>
                </c:pt>
                <c:pt idx="125">
                  <c:v>0.254</c:v>
                </c:pt>
                <c:pt idx="126">
                  <c:v>0.255</c:v>
                </c:pt>
                <c:pt idx="127">
                  <c:v>0.25600000000000001</c:v>
                </c:pt>
                <c:pt idx="128">
                  <c:v>0.25700000000000001</c:v>
                </c:pt>
                <c:pt idx="129">
                  <c:v>0.25800000000000001</c:v>
                </c:pt>
                <c:pt idx="130">
                  <c:v>0.25900000000000001</c:v>
                </c:pt>
                <c:pt idx="131">
                  <c:v>0.26</c:v>
                </c:pt>
                <c:pt idx="132">
                  <c:v>0.26100000000000001</c:v>
                </c:pt>
                <c:pt idx="133">
                  <c:v>0.26100000000000001</c:v>
                </c:pt>
                <c:pt idx="134">
                  <c:v>0.26200000000000001</c:v>
                </c:pt>
                <c:pt idx="135">
                  <c:v>0.26300000000000001</c:v>
                </c:pt>
                <c:pt idx="136">
                  <c:v>0.26400000000000001</c:v>
                </c:pt>
                <c:pt idx="137">
                  <c:v>0.26500000000000001</c:v>
                </c:pt>
                <c:pt idx="138">
                  <c:v>0.26600000000000001</c:v>
                </c:pt>
                <c:pt idx="139">
                  <c:v>0.26700000000000002</c:v>
                </c:pt>
                <c:pt idx="140">
                  <c:v>0.26800000000000002</c:v>
                </c:pt>
                <c:pt idx="141">
                  <c:v>0.26800000000000002</c:v>
                </c:pt>
                <c:pt idx="142">
                  <c:v>0.26899999999999996</c:v>
                </c:pt>
                <c:pt idx="143">
                  <c:v>0.27</c:v>
                </c:pt>
                <c:pt idx="144">
                  <c:v>0.27100000000000002</c:v>
                </c:pt>
                <c:pt idx="145">
                  <c:v>0.27200000000000002</c:v>
                </c:pt>
                <c:pt idx="146">
                  <c:v>0.27300000000000002</c:v>
                </c:pt>
                <c:pt idx="147">
                  <c:v>0.27300000000000002</c:v>
                </c:pt>
                <c:pt idx="148">
                  <c:v>0.27399999999999997</c:v>
                </c:pt>
                <c:pt idx="149">
                  <c:v>0.27500000000000002</c:v>
                </c:pt>
                <c:pt idx="150">
                  <c:v>0.27600000000000002</c:v>
                </c:pt>
                <c:pt idx="151">
                  <c:v>0.27699999999999997</c:v>
                </c:pt>
                <c:pt idx="152">
                  <c:v>0.27699999999999997</c:v>
                </c:pt>
                <c:pt idx="153">
                  <c:v>0.27800000000000002</c:v>
                </c:pt>
                <c:pt idx="154">
                  <c:v>0.27899999999999997</c:v>
                </c:pt>
                <c:pt idx="155">
                  <c:v>0.28000000000000003</c:v>
                </c:pt>
                <c:pt idx="156">
                  <c:v>0.28100000000000003</c:v>
                </c:pt>
                <c:pt idx="157">
                  <c:v>0.28100000000000003</c:v>
                </c:pt>
                <c:pt idx="158">
                  <c:v>0.28199999999999997</c:v>
                </c:pt>
                <c:pt idx="159">
                  <c:v>0.28300000000000003</c:v>
                </c:pt>
                <c:pt idx="160">
                  <c:v>0.28399999999999997</c:v>
                </c:pt>
                <c:pt idx="161">
                  <c:v>0.28399999999999997</c:v>
                </c:pt>
                <c:pt idx="162">
                  <c:v>0.28499999999999998</c:v>
                </c:pt>
                <c:pt idx="163">
                  <c:v>0.28600000000000003</c:v>
                </c:pt>
                <c:pt idx="164">
                  <c:v>0.28699999999999998</c:v>
                </c:pt>
                <c:pt idx="165">
                  <c:v>0.28699999999999998</c:v>
                </c:pt>
                <c:pt idx="166">
                  <c:v>0.28800000000000003</c:v>
                </c:pt>
                <c:pt idx="167">
                  <c:v>0.28899999999999998</c:v>
                </c:pt>
                <c:pt idx="168">
                  <c:v>0.28899999999999998</c:v>
                </c:pt>
                <c:pt idx="169">
                  <c:v>0.28999999999999998</c:v>
                </c:pt>
                <c:pt idx="170">
                  <c:v>0.29100000000000004</c:v>
                </c:pt>
                <c:pt idx="171">
                  <c:v>0.29199999999999998</c:v>
                </c:pt>
                <c:pt idx="172">
                  <c:v>0.29199999999999998</c:v>
                </c:pt>
                <c:pt idx="173">
                  <c:v>0.29299999999999998</c:v>
                </c:pt>
                <c:pt idx="174">
                  <c:v>0.29399999999999998</c:v>
                </c:pt>
                <c:pt idx="175">
                  <c:v>0.29399999999999998</c:v>
                </c:pt>
                <c:pt idx="176">
                  <c:v>0.29499999999999998</c:v>
                </c:pt>
                <c:pt idx="177">
                  <c:v>0.29600000000000004</c:v>
                </c:pt>
                <c:pt idx="178">
                  <c:v>0.29600000000000004</c:v>
                </c:pt>
                <c:pt idx="179">
                  <c:v>0.29699999999999999</c:v>
                </c:pt>
                <c:pt idx="180">
                  <c:v>0.29799999999999999</c:v>
                </c:pt>
                <c:pt idx="181">
                  <c:v>0.29799999999999999</c:v>
                </c:pt>
                <c:pt idx="182">
                  <c:v>0.29899999999999999</c:v>
                </c:pt>
                <c:pt idx="183">
                  <c:v>0.3</c:v>
                </c:pt>
                <c:pt idx="184">
                  <c:v>0.3</c:v>
                </c:pt>
                <c:pt idx="185">
                  <c:v>0.30099999999999999</c:v>
                </c:pt>
                <c:pt idx="186">
                  <c:v>0.30199999999999999</c:v>
                </c:pt>
                <c:pt idx="187">
                  <c:v>0.30199999999999999</c:v>
                </c:pt>
                <c:pt idx="188">
                  <c:v>0.30299999999999999</c:v>
                </c:pt>
                <c:pt idx="189">
                  <c:v>0.30299999999999999</c:v>
                </c:pt>
                <c:pt idx="190">
                  <c:v>0.30399999999999999</c:v>
                </c:pt>
                <c:pt idx="191">
                  <c:v>0.30499999999999999</c:v>
                </c:pt>
                <c:pt idx="192">
                  <c:v>0.30499999999999999</c:v>
                </c:pt>
                <c:pt idx="193">
                  <c:v>0.30599999999999999</c:v>
                </c:pt>
                <c:pt idx="194">
                  <c:v>0.307</c:v>
                </c:pt>
                <c:pt idx="195">
                  <c:v>0.307</c:v>
                </c:pt>
                <c:pt idx="196">
                  <c:v>0.308</c:v>
                </c:pt>
                <c:pt idx="197">
                  <c:v>0.308</c:v>
                </c:pt>
                <c:pt idx="198">
                  <c:v>0.309</c:v>
                </c:pt>
                <c:pt idx="199">
                  <c:v>0.309</c:v>
                </c:pt>
                <c:pt idx="200">
                  <c:v>0.31</c:v>
                </c:pt>
                <c:pt idx="201">
                  <c:v>0.311</c:v>
                </c:pt>
                <c:pt idx="202">
                  <c:v>0.311</c:v>
                </c:pt>
                <c:pt idx="203">
                  <c:v>0.312</c:v>
                </c:pt>
                <c:pt idx="204">
                  <c:v>0.312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'NW Limits'!$D$2</c:f>
              <c:strCache>
                <c:ptCount val="1"/>
                <c:pt idx="0">
                  <c:v>Fwd %MAC, Nose Tire 215-225 PSI</c:v>
                </c:pt>
              </c:strCache>
            </c:strRef>
          </c:tx>
          <c:marker>
            <c:symbol val="none"/>
          </c:marker>
          <c:xVal>
            <c:numRef>
              <c:f>'NW Limits'!$A$3:$A$228</c:f>
              <c:numCache>
                <c:formatCode>#,##0</c:formatCode>
                <c:ptCount val="226"/>
                <c:pt idx="0">
                  <c:v>15000</c:v>
                </c:pt>
                <c:pt idx="1">
                  <c:v>15100</c:v>
                </c:pt>
                <c:pt idx="2">
                  <c:v>15200</c:v>
                </c:pt>
                <c:pt idx="3">
                  <c:v>15300</c:v>
                </c:pt>
                <c:pt idx="4">
                  <c:v>15400</c:v>
                </c:pt>
                <c:pt idx="5">
                  <c:v>15500</c:v>
                </c:pt>
                <c:pt idx="6">
                  <c:v>15600</c:v>
                </c:pt>
                <c:pt idx="7">
                  <c:v>15700</c:v>
                </c:pt>
                <c:pt idx="8">
                  <c:v>15800</c:v>
                </c:pt>
                <c:pt idx="9">
                  <c:v>15900</c:v>
                </c:pt>
                <c:pt idx="10">
                  <c:v>16000</c:v>
                </c:pt>
                <c:pt idx="11">
                  <c:v>16100</c:v>
                </c:pt>
                <c:pt idx="12">
                  <c:v>16200</c:v>
                </c:pt>
                <c:pt idx="13">
                  <c:v>16300</c:v>
                </c:pt>
                <c:pt idx="14">
                  <c:v>16400</c:v>
                </c:pt>
                <c:pt idx="15">
                  <c:v>16500</c:v>
                </c:pt>
                <c:pt idx="16">
                  <c:v>16600</c:v>
                </c:pt>
                <c:pt idx="17">
                  <c:v>16700</c:v>
                </c:pt>
                <c:pt idx="18">
                  <c:v>16800</c:v>
                </c:pt>
                <c:pt idx="19">
                  <c:v>16900</c:v>
                </c:pt>
                <c:pt idx="20">
                  <c:v>17000</c:v>
                </c:pt>
                <c:pt idx="21">
                  <c:v>17100</c:v>
                </c:pt>
                <c:pt idx="22">
                  <c:v>17200</c:v>
                </c:pt>
                <c:pt idx="23">
                  <c:v>17300</c:v>
                </c:pt>
                <c:pt idx="24">
                  <c:v>17400</c:v>
                </c:pt>
                <c:pt idx="25">
                  <c:v>17500</c:v>
                </c:pt>
                <c:pt idx="26">
                  <c:v>17600</c:v>
                </c:pt>
                <c:pt idx="27">
                  <c:v>17700</c:v>
                </c:pt>
                <c:pt idx="28">
                  <c:v>17800</c:v>
                </c:pt>
                <c:pt idx="29">
                  <c:v>17900</c:v>
                </c:pt>
                <c:pt idx="30">
                  <c:v>18000</c:v>
                </c:pt>
                <c:pt idx="31">
                  <c:v>18100</c:v>
                </c:pt>
                <c:pt idx="32">
                  <c:v>18200</c:v>
                </c:pt>
                <c:pt idx="33">
                  <c:v>18300</c:v>
                </c:pt>
                <c:pt idx="34">
                  <c:v>18400</c:v>
                </c:pt>
                <c:pt idx="35">
                  <c:v>18500</c:v>
                </c:pt>
                <c:pt idx="36">
                  <c:v>18600</c:v>
                </c:pt>
                <c:pt idx="37">
                  <c:v>18700</c:v>
                </c:pt>
                <c:pt idx="38">
                  <c:v>18800</c:v>
                </c:pt>
                <c:pt idx="39">
                  <c:v>18900</c:v>
                </c:pt>
                <c:pt idx="40">
                  <c:v>19000</c:v>
                </c:pt>
                <c:pt idx="41">
                  <c:v>19100</c:v>
                </c:pt>
                <c:pt idx="42">
                  <c:v>19200</c:v>
                </c:pt>
                <c:pt idx="43">
                  <c:v>19300</c:v>
                </c:pt>
                <c:pt idx="44">
                  <c:v>19400</c:v>
                </c:pt>
                <c:pt idx="45">
                  <c:v>19500</c:v>
                </c:pt>
                <c:pt idx="46">
                  <c:v>19600</c:v>
                </c:pt>
                <c:pt idx="47">
                  <c:v>19700</c:v>
                </c:pt>
                <c:pt idx="48">
                  <c:v>19800</c:v>
                </c:pt>
                <c:pt idx="49">
                  <c:v>19900</c:v>
                </c:pt>
                <c:pt idx="50">
                  <c:v>20000</c:v>
                </c:pt>
                <c:pt idx="51">
                  <c:v>20100</c:v>
                </c:pt>
                <c:pt idx="52">
                  <c:v>20200</c:v>
                </c:pt>
                <c:pt idx="53">
                  <c:v>20300</c:v>
                </c:pt>
                <c:pt idx="54">
                  <c:v>20400</c:v>
                </c:pt>
                <c:pt idx="55">
                  <c:v>20500</c:v>
                </c:pt>
                <c:pt idx="56">
                  <c:v>20600</c:v>
                </c:pt>
                <c:pt idx="57">
                  <c:v>20700</c:v>
                </c:pt>
                <c:pt idx="58">
                  <c:v>20800</c:v>
                </c:pt>
                <c:pt idx="59">
                  <c:v>20900</c:v>
                </c:pt>
                <c:pt idx="60">
                  <c:v>21000</c:v>
                </c:pt>
                <c:pt idx="61">
                  <c:v>21100</c:v>
                </c:pt>
                <c:pt idx="62">
                  <c:v>21200</c:v>
                </c:pt>
                <c:pt idx="63">
                  <c:v>21300</c:v>
                </c:pt>
                <c:pt idx="64">
                  <c:v>21400</c:v>
                </c:pt>
                <c:pt idx="65">
                  <c:v>21500</c:v>
                </c:pt>
                <c:pt idx="66">
                  <c:v>21600</c:v>
                </c:pt>
                <c:pt idx="67">
                  <c:v>21700</c:v>
                </c:pt>
                <c:pt idx="68">
                  <c:v>21800</c:v>
                </c:pt>
                <c:pt idx="69">
                  <c:v>21900</c:v>
                </c:pt>
                <c:pt idx="70">
                  <c:v>22000</c:v>
                </c:pt>
                <c:pt idx="71">
                  <c:v>22100</c:v>
                </c:pt>
                <c:pt idx="72">
                  <c:v>22200</c:v>
                </c:pt>
                <c:pt idx="73">
                  <c:v>22300</c:v>
                </c:pt>
                <c:pt idx="74">
                  <c:v>22400</c:v>
                </c:pt>
                <c:pt idx="75">
                  <c:v>22500</c:v>
                </c:pt>
                <c:pt idx="76">
                  <c:v>22600</c:v>
                </c:pt>
                <c:pt idx="77">
                  <c:v>22700</c:v>
                </c:pt>
                <c:pt idx="78">
                  <c:v>22800</c:v>
                </c:pt>
                <c:pt idx="79">
                  <c:v>22900</c:v>
                </c:pt>
                <c:pt idx="80">
                  <c:v>23000</c:v>
                </c:pt>
                <c:pt idx="81">
                  <c:v>23100</c:v>
                </c:pt>
                <c:pt idx="82">
                  <c:v>23200</c:v>
                </c:pt>
                <c:pt idx="83">
                  <c:v>23300</c:v>
                </c:pt>
                <c:pt idx="84">
                  <c:v>23400</c:v>
                </c:pt>
                <c:pt idx="85">
                  <c:v>23500</c:v>
                </c:pt>
                <c:pt idx="86">
                  <c:v>23600</c:v>
                </c:pt>
                <c:pt idx="87">
                  <c:v>23700</c:v>
                </c:pt>
                <c:pt idx="88">
                  <c:v>23800</c:v>
                </c:pt>
                <c:pt idx="89">
                  <c:v>23900</c:v>
                </c:pt>
                <c:pt idx="90">
                  <c:v>24000</c:v>
                </c:pt>
                <c:pt idx="91">
                  <c:v>24100</c:v>
                </c:pt>
                <c:pt idx="92">
                  <c:v>24200</c:v>
                </c:pt>
                <c:pt idx="93">
                  <c:v>24300</c:v>
                </c:pt>
                <c:pt idx="94">
                  <c:v>24400</c:v>
                </c:pt>
                <c:pt idx="95">
                  <c:v>24500</c:v>
                </c:pt>
                <c:pt idx="96">
                  <c:v>24600</c:v>
                </c:pt>
                <c:pt idx="97">
                  <c:v>24700</c:v>
                </c:pt>
                <c:pt idx="98">
                  <c:v>24800</c:v>
                </c:pt>
                <c:pt idx="99">
                  <c:v>24900</c:v>
                </c:pt>
                <c:pt idx="100">
                  <c:v>25000</c:v>
                </c:pt>
                <c:pt idx="101">
                  <c:v>25100</c:v>
                </c:pt>
                <c:pt idx="102">
                  <c:v>25200</c:v>
                </c:pt>
                <c:pt idx="103">
                  <c:v>25300</c:v>
                </c:pt>
                <c:pt idx="104">
                  <c:v>25400</c:v>
                </c:pt>
                <c:pt idx="105">
                  <c:v>25500</c:v>
                </c:pt>
                <c:pt idx="106">
                  <c:v>25600</c:v>
                </c:pt>
                <c:pt idx="107">
                  <c:v>25700</c:v>
                </c:pt>
                <c:pt idx="108">
                  <c:v>25800</c:v>
                </c:pt>
                <c:pt idx="109">
                  <c:v>25900</c:v>
                </c:pt>
                <c:pt idx="110">
                  <c:v>26000</c:v>
                </c:pt>
                <c:pt idx="111">
                  <c:v>26100</c:v>
                </c:pt>
                <c:pt idx="112">
                  <c:v>26200</c:v>
                </c:pt>
                <c:pt idx="113">
                  <c:v>26300</c:v>
                </c:pt>
                <c:pt idx="114">
                  <c:v>26400</c:v>
                </c:pt>
                <c:pt idx="115">
                  <c:v>26500</c:v>
                </c:pt>
                <c:pt idx="116">
                  <c:v>26600</c:v>
                </c:pt>
                <c:pt idx="117">
                  <c:v>26700</c:v>
                </c:pt>
                <c:pt idx="118">
                  <c:v>26800</c:v>
                </c:pt>
                <c:pt idx="119">
                  <c:v>26900</c:v>
                </c:pt>
                <c:pt idx="120">
                  <c:v>27000</c:v>
                </c:pt>
                <c:pt idx="121">
                  <c:v>27100</c:v>
                </c:pt>
                <c:pt idx="122">
                  <c:v>27200</c:v>
                </c:pt>
                <c:pt idx="123">
                  <c:v>27300</c:v>
                </c:pt>
                <c:pt idx="124">
                  <c:v>27400</c:v>
                </c:pt>
                <c:pt idx="125">
                  <c:v>27500</c:v>
                </c:pt>
                <c:pt idx="126">
                  <c:v>27600</c:v>
                </c:pt>
                <c:pt idx="127">
                  <c:v>27700</c:v>
                </c:pt>
                <c:pt idx="128">
                  <c:v>27800</c:v>
                </c:pt>
                <c:pt idx="129">
                  <c:v>27900</c:v>
                </c:pt>
                <c:pt idx="130">
                  <c:v>28000</c:v>
                </c:pt>
                <c:pt idx="131">
                  <c:v>28100</c:v>
                </c:pt>
                <c:pt idx="132">
                  <c:v>28200</c:v>
                </c:pt>
                <c:pt idx="133">
                  <c:v>28300</c:v>
                </c:pt>
                <c:pt idx="134">
                  <c:v>28400</c:v>
                </c:pt>
                <c:pt idx="135">
                  <c:v>28500</c:v>
                </c:pt>
                <c:pt idx="136">
                  <c:v>28600</c:v>
                </c:pt>
                <c:pt idx="137">
                  <c:v>28700</c:v>
                </c:pt>
                <c:pt idx="138">
                  <c:v>28800</c:v>
                </c:pt>
                <c:pt idx="139">
                  <c:v>28900</c:v>
                </c:pt>
                <c:pt idx="140">
                  <c:v>29000</c:v>
                </c:pt>
                <c:pt idx="141">
                  <c:v>29100</c:v>
                </c:pt>
                <c:pt idx="142">
                  <c:v>29200</c:v>
                </c:pt>
                <c:pt idx="143">
                  <c:v>29300</c:v>
                </c:pt>
                <c:pt idx="144">
                  <c:v>29400</c:v>
                </c:pt>
                <c:pt idx="145">
                  <c:v>29500</c:v>
                </c:pt>
                <c:pt idx="146">
                  <c:v>29600</c:v>
                </c:pt>
                <c:pt idx="147">
                  <c:v>29700</c:v>
                </c:pt>
                <c:pt idx="148">
                  <c:v>29800</c:v>
                </c:pt>
                <c:pt idx="149">
                  <c:v>29900</c:v>
                </c:pt>
                <c:pt idx="150">
                  <c:v>30000</c:v>
                </c:pt>
                <c:pt idx="151">
                  <c:v>30100</c:v>
                </c:pt>
                <c:pt idx="152">
                  <c:v>30200</c:v>
                </c:pt>
                <c:pt idx="153">
                  <c:v>30300</c:v>
                </c:pt>
                <c:pt idx="154">
                  <c:v>30400</c:v>
                </c:pt>
                <c:pt idx="155">
                  <c:v>30500</c:v>
                </c:pt>
                <c:pt idx="156">
                  <c:v>30600</c:v>
                </c:pt>
                <c:pt idx="157">
                  <c:v>30700</c:v>
                </c:pt>
                <c:pt idx="158">
                  <c:v>30800</c:v>
                </c:pt>
                <c:pt idx="159">
                  <c:v>30900</c:v>
                </c:pt>
                <c:pt idx="160">
                  <c:v>31000</c:v>
                </c:pt>
                <c:pt idx="161">
                  <c:v>31100</c:v>
                </c:pt>
                <c:pt idx="162">
                  <c:v>31200</c:v>
                </c:pt>
                <c:pt idx="163">
                  <c:v>31300</c:v>
                </c:pt>
                <c:pt idx="164">
                  <c:v>31400</c:v>
                </c:pt>
                <c:pt idx="165">
                  <c:v>31500</c:v>
                </c:pt>
                <c:pt idx="166">
                  <c:v>31600</c:v>
                </c:pt>
                <c:pt idx="167">
                  <c:v>31700</c:v>
                </c:pt>
                <c:pt idx="168">
                  <c:v>31800</c:v>
                </c:pt>
                <c:pt idx="169">
                  <c:v>31900</c:v>
                </c:pt>
                <c:pt idx="170">
                  <c:v>32000</c:v>
                </c:pt>
                <c:pt idx="171">
                  <c:v>32100</c:v>
                </c:pt>
                <c:pt idx="172">
                  <c:v>32200</c:v>
                </c:pt>
                <c:pt idx="173">
                  <c:v>32300</c:v>
                </c:pt>
                <c:pt idx="174">
                  <c:v>32400</c:v>
                </c:pt>
                <c:pt idx="175">
                  <c:v>32500</c:v>
                </c:pt>
                <c:pt idx="176">
                  <c:v>32600</c:v>
                </c:pt>
                <c:pt idx="177">
                  <c:v>32700</c:v>
                </c:pt>
                <c:pt idx="178">
                  <c:v>32800</c:v>
                </c:pt>
                <c:pt idx="179">
                  <c:v>32900</c:v>
                </c:pt>
                <c:pt idx="180">
                  <c:v>33000</c:v>
                </c:pt>
                <c:pt idx="181">
                  <c:v>33100</c:v>
                </c:pt>
                <c:pt idx="182">
                  <c:v>33200</c:v>
                </c:pt>
                <c:pt idx="183">
                  <c:v>33300</c:v>
                </c:pt>
                <c:pt idx="184">
                  <c:v>33400</c:v>
                </c:pt>
                <c:pt idx="185">
                  <c:v>33500</c:v>
                </c:pt>
                <c:pt idx="186">
                  <c:v>33600</c:v>
                </c:pt>
                <c:pt idx="187">
                  <c:v>33700</c:v>
                </c:pt>
                <c:pt idx="188">
                  <c:v>33800</c:v>
                </c:pt>
                <c:pt idx="189">
                  <c:v>33900</c:v>
                </c:pt>
                <c:pt idx="190">
                  <c:v>34000</c:v>
                </c:pt>
                <c:pt idx="191">
                  <c:v>34100</c:v>
                </c:pt>
                <c:pt idx="192">
                  <c:v>34200</c:v>
                </c:pt>
                <c:pt idx="193">
                  <c:v>34300</c:v>
                </c:pt>
                <c:pt idx="194">
                  <c:v>34400</c:v>
                </c:pt>
                <c:pt idx="195">
                  <c:v>34500</c:v>
                </c:pt>
                <c:pt idx="196">
                  <c:v>34600</c:v>
                </c:pt>
                <c:pt idx="197">
                  <c:v>34700</c:v>
                </c:pt>
                <c:pt idx="198">
                  <c:v>34800</c:v>
                </c:pt>
                <c:pt idx="199">
                  <c:v>34900</c:v>
                </c:pt>
                <c:pt idx="200">
                  <c:v>35000</c:v>
                </c:pt>
                <c:pt idx="201">
                  <c:v>35100</c:v>
                </c:pt>
                <c:pt idx="202">
                  <c:v>35200</c:v>
                </c:pt>
                <c:pt idx="203">
                  <c:v>35300</c:v>
                </c:pt>
                <c:pt idx="204">
                  <c:v>35400</c:v>
                </c:pt>
                <c:pt idx="205">
                  <c:v>35500</c:v>
                </c:pt>
                <c:pt idx="206">
                  <c:v>35600</c:v>
                </c:pt>
                <c:pt idx="207">
                  <c:v>35700</c:v>
                </c:pt>
                <c:pt idx="208">
                  <c:v>35800</c:v>
                </c:pt>
                <c:pt idx="209">
                  <c:v>35900</c:v>
                </c:pt>
                <c:pt idx="210">
                  <c:v>36000</c:v>
                </c:pt>
                <c:pt idx="211">
                  <c:v>36100</c:v>
                </c:pt>
                <c:pt idx="212">
                  <c:v>36200</c:v>
                </c:pt>
                <c:pt idx="213">
                  <c:v>36300</c:v>
                </c:pt>
                <c:pt idx="214">
                  <c:v>36400</c:v>
                </c:pt>
                <c:pt idx="215">
                  <c:v>36500</c:v>
                </c:pt>
                <c:pt idx="216">
                  <c:v>36600</c:v>
                </c:pt>
                <c:pt idx="217">
                  <c:v>36700</c:v>
                </c:pt>
                <c:pt idx="218">
                  <c:v>36800</c:v>
                </c:pt>
                <c:pt idx="219">
                  <c:v>36900</c:v>
                </c:pt>
                <c:pt idx="220">
                  <c:v>37000</c:v>
                </c:pt>
                <c:pt idx="221">
                  <c:v>37100</c:v>
                </c:pt>
                <c:pt idx="222">
                  <c:v>37200</c:v>
                </c:pt>
                <c:pt idx="223">
                  <c:v>37300</c:v>
                </c:pt>
                <c:pt idx="224">
                  <c:v>37400</c:v>
                </c:pt>
                <c:pt idx="225">
                  <c:v>37500</c:v>
                </c:pt>
              </c:numCache>
            </c:numRef>
          </c:xVal>
          <c:yVal>
            <c:numRef>
              <c:f>'NW Limits'!$D$3:$D$228</c:f>
              <c:numCache>
                <c:formatCode>0.00%</c:formatCode>
                <c:ptCount val="226"/>
                <c:pt idx="0">
                  <c:v>8.6999999999999994E-2</c:v>
                </c:pt>
                <c:pt idx="1">
                  <c:v>0.09</c:v>
                </c:pt>
                <c:pt idx="2">
                  <c:v>9.3000000000000013E-2</c:v>
                </c:pt>
                <c:pt idx="3">
                  <c:v>9.6000000000000002E-2</c:v>
                </c:pt>
                <c:pt idx="4">
                  <c:v>9.8000000000000004E-2</c:v>
                </c:pt>
                <c:pt idx="5">
                  <c:v>0.10099999999999999</c:v>
                </c:pt>
                <c:pt idx="6">
                  <c:v>0.10400000000000001</c:v>
                </c:pt>
                <c:pt idx="7">
                  <c:v>0.106</c:v>
                </c:pt>
                <c:pt idx="8">
                  <c:v>0.109</c:v>
                </c:pt>
                <c:pt idx="9">
                  <c:v>0.11199999999999999</c:v>
                </c:pt>
                <c:pt idx="10">
                  <c:v>0.114</c:v>
                </c:pt>
                <c:pt idx="11">
                  <c:v>0.11699999999999999</c:v>
                </c:pt>
                <c:pt idx="12">
                  <c:v>0.11900000000000001</c:v>
                </c:pt>
                <c:pt idx="13">
                  <c:v>0.121</c:v>
                </c:pt>
                <c:pt idx="14">
                  <c:v>0.124</c:v>
                </c:pt>
                <c:pt idx="15">
                  <c:v>0.126</c:v>
                </c:pt>
                <c:pt idx="16">
                  <c:v>0.129</c:v>
                </c:pt>
                <c:pt idx="17">
                  <c:v>0.13100000000000001</c:v>
                </c:pt>
                <c:pt idx="18">
                  <c:v>0.13300000000000001</c:v>
                </c:pt>
                <c:pt idx="19">
                  <c:v>0.13500000000000001</c:v>
                </c:pt>
                <c:pt idx="20">
                  <c:v>0.13800000000000001</c:v>
                </c:pt>
                <c:pt idx="21">
                  <c:v>0.14000000000000001</c:v>
                </c:pt>
                <c:pt idx="22">
                  <c:v>0.14199999999999999</c:v>
                </c:pt>
                <c:pt idx="23">
                  <c:v>0.14400000000000002</c:v>
                </c:pt>
                <c:pt idx="24">
                  <c:v>0.14599999999999999</c:v>
                </c:pt>
                <c:pt idx="25">
                  <c:v>0.14800000000000002</c:v>
                </c:pt>
                <c:pt idx="26">
                  <c:v>0.151</c:v>
                </c:pt>
                <c:pt idx="27">
                  <c:v>0.153</c:v>
                </c:pt>
                <c:pt idx="28">
                  <c:v>0.155</c:v>
                </c:pt>
                <c:pt idx="29">
                  <c:v>0.157</c:v>
                </c:pt>
                <c:pt idx="30">
                  <c:v>0.159</c:v>
                </c:pt>
                <c:pt idx="31">
                  <c:v>0.161</c:v>
                </c:pt>
                <c:pt idx="32">
                  <c:v>0.16300000000000001</c:v>
                </c:pt>
                <c:pt idx="33">
                  <c:v>0.16500000000000001</c:v>
                </c:pt>
                <c:pt idx="34">
                  <c:v>0.16600000000000001</c:v>
                </c:pt>
                <c:pt idx="35">
                  <c:v>0.16800000000000001</c:v>
                </c:pt>
                <c:pt idx="36">
                  <c:v>0.17</c:v>
                </c:pt>
                <c:pt idx="37">
                  <c:v>0.17199999999999999</c:v>
                </c:pt>
                <c:pt idx="38">
                  <c:v>0.17399999999999999</c:v>
                </c:pt>
                <c:pt idx="39">
                  <c:v>0.17600000000000002</c:v>
                </c:pt>
                <c:pt idx="40">
                  <c:v>0.17699999999999999</c:v>
                </c:pt>
                <c:pt idx="41">
                  <c:v>0.17899999999999999</c:v>
                </c:pt>
                <c:pt idx="42">
                  <c:v>0.18100000000000002</c:v>
                </c:pt>
                <c:pt idx="43">
                  <c:v>0.183</c:v>
                </c:pt>
                <c:pt idx="44">
                  <c:v>0.184</c:v>
                </c:pt>
                <c:pt idx="45">
                  <c:v>0.18600000000000003</c:v>
                </c:pt>
                <c:pt idx="46">
                  <c:v>0.188</c:v>
                </c:pt>
                <c:pt idx="47">
                  <c:v>0.18899999999999997</c:v>
                </c:pt>
                <c:pt idx="48">
                  <c:v>0.191</c:v>
                </c:pt>
                <c:pt idx="49">
                  <c:v>0.193</c:v>
                </c:pt>
                <c:pt idx="50">
                  <c:v>0.19399999999999998</c:v>
                </c:pt>
                <c:pt idx="51">
                  <c:v>0.19600000000000001</c:v>
                </c:pt>
                <c:pt idx="52">
                  <c:v>0.19800000000000001</c:v>
                </c:pt>
                <c:pt idx="53">
                  <c:v>0.19899999999999998</c:v>
                </c:pt>
                <c:pt idx="54">
                  <c:v>0.20100000000000001</c:v>
                </c:pt>
                <c:pt idx="55">
                  <c:v>0.20199999999999999</c:v>
                </c:pt>
                <c:pt idx="56">
                  <c:v>0.20399999999999999</c:v>
                </c:pt>
                <c:pt idx="57">
                  <c:v>0.20499999999999999</c:v>
                </c:pt>
                <c:pt idx="58">
                  <c:v>0.20699999999999999</c:v>
                </c:pt>
                <c:pt idx="59">
                  <c:v>0.20800000000000002</c:v>
                </c:pt>
                <c:pt idx="60">
                  <c:v>0.21</c:v>
                </c:pt>
                <c:pt idx="61">
                  <c:v>0.21100000000000002</c:v>
                </c:pt>
                <c:pt idx="62">
                  <c:v>0.21299999999999999</c:v>
                </c:pt>
                <c:pt idx="63">
                  <c:v>0.214</c:v>
                </c:pt>
                <c:pt idx="64">
                  <c:v>0.215</c:v>
                </c:pt>
                <c:pt idx="65">
                  <c:v>0.217</c:v>
                </c:pt>
                <c:pt idx="66">
                  <c:v>0.218</c:v>
                </c:pt>
                <c:pt idx="67">
                  <c:v>0.22</c:v>
                </c:pt>
                <c:pt idx="68">
                  <c:v>0.221</c:v>
                </c:pt>
                <c:pt idx="69">
                  <c:v>0.222</c:v>
                </c:pt>
                <c:pt idx="70">
                  <c:v>0.22399999999999998</c:v>
                </c:pt>
                <c:pt idx="71">
                  <c:v>0.22500000000000001</c:v>
                </c:pt>
                <c:pt idx="72">
                  <c:v>0.22600000000000001</c:v>
                </c:pt>
                <c:pt idx="73">
                  <c:v>0.22699999999999998</c:v>
                </c:pt>
                <c:pt idx="74">
                  <c:v>0.22899999999999998</c:v>
                </c:pt>
                <c:pt idx="75">
                  <c:v>0.23</c:v>
                </c:pt>
                <c:pt idx="76">
                  <c:v>0.23100000000000001</c:v>
                </c:pt>
                <c:pt idx="77">
                  <c:v>0.23300000000000001</c:v>
                </c:pt>
                <c:pt idx="78">
                  <c:v>0.23399999999999999</c:v>
                </c:pt>
                <c:pt idx="79">
                  <c:v>0.23499999999999999</c:v>
                </c:pt>
                <c:pt idx="80">
                  <c:v>0.23600000000000002</c:v>
                </c:pt>
                <c:pt idx="81">
                  <c:v>0.23699999999999999</c:v>
                </c:pt>
                <c:pt idx="82">
                  <c:v>0.23899999999999999</c:v>
                </c:pt>
                <c:pt idx="83">
                  <c:v>0.24</c:v>
                </c:pt>
                <c:pt idx="84">
                  <c:v>0.24100000000000002</c:v>
                </c:pt>
                <c:pt idx="85">
                  <c:v>0.24199999999999999</c:v>
                </c:pt>
                <c:pt idx="86">
                  <c:v>0.24299999999999999</c:v>
                </c:pt>
                <c:pt idx="87">
                  <c:v>0.24399999999999999</c:v>
                </c:pt>
                <c:pt idx="88">
                  <c:v>0.24600000000000002</c:v>
                </c:pt>
                <c:pt idx="89">
                  <c:v>0.247</c:v>
                </c:pt>
                <c:pt idx="90">
                  <c:v>0.248</c:v>
                </c:pt>
                <c:pt idx="91">
                  <c:v>0.249</c:v>
                </c:pt>
                <c:pt idx="92">
                  <c:v>0.25</c:v>
                </c:pt>
                <c:pt idx="93">
                  <c:v>0.251</c:v>
                </c:pt>
                <c:pt idx="94">
                  <c:v>0.252</c:v>
                </c:pt>
                <c:pt idx="95">
                  <c:v>0.253</c:v>
                </c:pt>
                <c:pt idx="96">
                  <c:v>0.254</c:v>
                </c:pt>
                <c:pt idx="97">
                  <c:v>0.255</c:v>
                </c:pt>
                <c:pt idx="98">
                  <c:v>0.25600000000000001</c:v>
                </c:pt>
                <c:pt idx="99">
                  <c:v>0.25800000000000001</c:v>
                </c:pt>
                <c:pt idx="100">
                  <c:v>0.25900000000000001</c:v>
                </c:pt>
                <c:pt idx="101">
                  <c:v>0.26</c:v>
                </c:pt>
                <c:pt idx="102">
                  <c:v>0.26100000000000001</c:v>
                </c:pt>
                <c:pt idx="103">
                  <c:v>0.26200000000000001</c:v>
                </c:pt>
                <c:pt idx="104">
                  <c:v>0.26300000000000001</c:v>
                </c:pt>
                <c:pt idx="105">
                  <c:v>0.26400000000000001</c:v>
                </c:pt>
                <c:pt idx="106">
                  <c:v>0.26500000000000001</c:v>
                </c:pt>
                <c:pt idx="107">
                  <c:v>0.26600000000000001</c:v>
                </c:pt>
                <c:pt idx="108">
                  <c:v>0.26700000000000002</c:v>
                </c:pt>
                <c:pt idx="109">
                  <c:v>0.26700000000000002</c:v>
                </c:pt>
                <c:pt idx="110">
                  <c:v>0.26800000000000002</c:v>
                </c:pt>
                <c:pt idx="111">
                  <c:v>0.26899999999999996</c:v>
                </c:pt>
                <c:pt idx="112">
                  <c:v>0.27</c:v>
                </c:pt>
                <c:pt idx="113">
                  <c:v>0.27100000000000002</c:v>
                </c:pt>
                <c:pt idx="114">
                  <c:v>0.27200000000000002</c:v>
                </c:pt>
                <c:pt idx="115">
                  <c:v>0.27300000000000002</c:v>
                </c:pt>
                <c:pt idx="116">
                  <c:v>0.27399999999999997</c:v>
                </c:pt>
                <c:pt idx="117">
                  <c:v>0.27500000000000002</c:v>
                </c:pt>
                <c:pt idx="118">
                  <c:v>0.27600000000000002</c:v>
                </c:pt>
                <c:pt idx="119">
                  <c:v>0.27699999999999997</c:v>
                </c:pt>
                <c:pt idx="120">
                  <c:v>0.27800000000000002</c:v>
                </c:pt>
                <c:pt idx="121">
                  <c:v>0.27800000000000002</c:v>
                </c:pt>
                <c:pt idx="122">
                  <c:v>0.27899999999999997</c:v>
                </c:pt>
                <c:pt idx="123">
                  <c:v>0.28000000000000003</c:v>
                </c:pt>
                <c:pt idx="124">
                  <c:v>0.28100000000000003</c:v>
                </c:pt>
                <c:pt idx="125">
                  <c:v>0.28199999999999997</c:v>
                </c:pt>
                <c:pt idx="126">
                  <c:v>0.28300000000000003</c:v>
                </c:pt>
                <c:pt idx="127">
                  <c:v>0.28399999999999997</c:v>
                </c:pt>
                <c:pt idx="128">
                  <c:v>0.28399999999999997</c:v>
                </c:pt>
                <c:pt idx="129">
                  <c:v>0.28499999999999998</c:v>
                </c:pt>
                <c:pt idx="130">
                  <c:v>0.28600000000000003</c:v>
                </c:pt>
                <c:pt idx="131">
                  <c:v>0.28699999999999998</c:v>
                </c:pt>
                <c:pt idx="132">
                  <c:v>0.28800000000000003</c:v>
                </c:pt>
                <c:pt idx="133">
                  <c:v>0.28899999999999998</c:v>
                </c:pt>
                <c:pt idx="134">
                  <c:v>0.28899999999999998</c:v>
                </c:pt>
                <c:pt idx="135">
                  <c:v>0.28999999999999998</c:v>
                </c:pt>
                <c:pt idx="136">
                  <c:v>0.29100000000000004</c:v>
                </c:pt>
                <c:pt idx="137">
                  <c:v>0.29199999999999998</c:v>
                </c:pt>
                <c:pt idx="138">
                  <c:v>0.29199999999999998</c:v>
                </c:pt>
                <c:pt idx="139">
                  <c:v>0.29299999999999998</c:v>
                </c:pt>
                <c:pt idx="140">
                  <c:v>0.29399999999999998</c:v>
                </c:pt>
                <c:pt idx="141">
                  <c:v>0.29499999999999998</c:v>
                </c:pt>
                <c:pt idx="142">
                  <c:v>0.29600000000000004</c:v>
                </c:pt>
                <c:pt idx="143">
                  <c:v>0.29600000000000004</c:v>
                </c:pt>
                <c:pt idx="144">
                  <c:v>0.29699999999999999</c:v>
                </c:pt>
                <c:pt idx="145">
                  <c:v>0.29799999999999999</c:v>
                </c:pt>
                <c:pt idx="146">
                  <c:v>0.29799999999999999</c:v>
                </c:pt>
                <c:pt idx="147">
                  <c:v>0.29899999999999999</c:v>
                </c:pt>
                <c:pt idx="148">
                  <c:v>0.3</c:v>
                </c:pt>
                <c:pt idx="149">
                  <c:v>0.30099999999999999</c:v>
                </c:pt>
                <c:pt idx="150">
                  <c:v>0.30099999999999999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'NW Limits'!$E$2</c:f>
              <c:strCache>
                <c:ptCount val="1"/>
                <c:pt idx="0">
                  <c:v>Aft %MAC</c:v>
                </c:pt>
              </c:strCache>
            </c:strRef>
          </c:tx>
          <c:marker>
            <c:symbol val="none"/>
          </c:marker>
          <c:xVal>
            <c:numRef>
              <c:f>'NW Limits'!$A$3:$A$228</c:f>
              <c:numCache>
                <c:formatCode>#,##0</c:formatCode>
                <c:ptCount val="226"/>
                <c:pt idx="0">
                  <c:v>15000</c:v>
                </c:pt>
                <c:pt idx="1">
                  <c:v>15100</c:v>
                </c:pt>
                <c:pt idx="2">
                  <c:v>15200</c:v>
                </c:pt>
                <c:pt idx="3">
                  <c:v>15300</c:v>
                </c:pt>
                <c:pt idx="4">
                  <c:v>15400</c:v>
                </c:pt>
                <c:pt idx="5">
                  <c:v>15500</c:v>
                </c:pt>
                <c:pt idx="6">
                  <c:v>15600</c:v>
                </c:pt>
                <c:pt idx="7">
                  <c:v>15700</c:v>
                </c:pt>
                <c:pt idx="8">
                  <c:v>15800</c:v>
                </c:pt>
                <c:pt idx="9">
                  <c:v>15900</c:v>
                </c:pt>
                <c:pt idx="10">
                  <c:v>16000</c:v>
                </c:pt>
                <c:pt idx="11">
                  <c:v>16100</c:v>
                </c:pt>
                <c:pt idx="12">
                  <c:v>16200</c:v>
                </c:pt>
                <c:pt idx="13">
                  <c:v>16300</c:v>
                </c:pt>
                <c:pt idx="14">
                  <c:v>16400</c:v>
                </c:pt>
                <c:pt idx="15">
                  <c:v>16500</c:v>
                </c:pt>
                <c:pt idx="16">
                  <c:v>16600</c:v>
                </c:pt>
                <c:pt idx="17">
                  <c:v>16700</c:v>
                </c:pt>
                <c:pt idx="18">
                  <c:v>16800</c:v>
                </c:pt>
                <c:pt idx="19">
                  <c:v>16900</c:v>
                </c:pt>
                <c:pt idx="20">
                  <c:v>17000</c:v>
                </c:pt>
                <c:pt idx="21">
                  <c:v>17100</c:v>
                </c:pt>
                <c:pt idx="22">
                  <c:v>17200</c:v>
                </c:pt>
                <c:pt idx="23">
                  <c:v>17300</c:v>
                </c:pt>
                <c:pt idx="24">
                  <c:v>17400</c:v>
                </c:pt>
                <c:pt idx="25">
                  <c:v>17500</c:v>
                </c:pt>
                <c:pt idx="26">
                  <c:v>17600</c:v>
                </c:pt>
                <c:pt idx="27">
                  <c:v>17700</c:v>
                </c:pt>
                <c:pt idx="28">
                  <c:v>17800</c:v>
                </c:pt>
                <c:pt idx="29">
                  <c:v>17900</c:v>
                </c:pt>
                <c:pt idx="30">
                  <c:v>18000</c:v>
                </c:pt>
                <c:pt idx="31">
                  <c:v>18100</c:v>
                </c:pt>
                <c:pt idx="32">
                  <c:v>18200</c:v>
                </c:pt>
                <c:pt idx="33">
                  <c:v>18300</c:v>
                </c:pt>
                <c:pt idx="34">
                  <c:v>18400</c:v>
                </c:pt>
                <c:pt idx="35">
                  <c:v>18500</c:v>
                </c:pt>
                <c:pt idx="36">
                  <c:v>18600</c:v>
                </c:pt>
                <c:pt idx="37">
                  <c:v>18700</c:v>
                </c:pt>
                <c:pt idx="38">
                  <c:v>18800</c:v>
                </c:pt>
                <c:pt idx="39">
                  <c:v>18900</c:v>
                </c:pt>
                <c:pt idx="40">
                  <c:v>19000</c:v>
                </c:pt>
                <c:pt idx="41">
                  <c:v>19100</c:v>
                </c:pt>
                <c:pt idx="42">
                  <c:v>19200</c:v>
                </c:pt>
                <c:pt idx="43">
                  <c:v>19300</c:v>
                </c:pt>
                <c:pt idx="44">
                  <c:v>19400</c:v>
                </c:pt>
                <c:pt idx="45">
                  <c:v>19500</c:v>
                </c:pt>
                <c:pt idx="46">
                  <c:v>19600</c:v>
                </c:pt>
                <c:pt idx="47">
                  <c:v>19700</c:v>
                </c:pt>
                <c:pt idx="48">
                  <c:v>19800</c:v>
                </c:pt>
                <c:pt idx="49">
                  <c:v>19900</c:v>
                </c:pt>
                <c:pt idx="50">
                  <c:v>20000</c:v>
                </c:pt>
                <c:pt idx="51">
                  <c:v>20100</c:v>
                </c:pt>
                <c:pt idx="52">
                  <c:v>20200</c:v>
                </c:pt>
                <c:pt idx="53">
                  <c:v>20300</c:v>
                </c:pt>
                <c:pt idx="54">
                  <c:v>20400</c:v>
                </c:pt>
                <c:pt idx="55">
                  <c:v>20500</c:v>
                </c:pt>
                <c:pt idx="56">
                  <c:v>20600</c:v>
                </c:pt>
                <c:pt idx="57">
                  <c:v>20700</c:v>
                </c:pt>
                <c:pt idx="58">
                  <c:v>20800</c:v>
                </c:pt>
                <c:pt idx="59">
                  <c:v>20900</c:v>
                </c:pt>
                <c:pt idx="60">
                  <c:v>21000</c:v>
                </c:pt>
                <c:pt idx="61">
                  <c:v>21100</c:v>
                </c:pt>
                <c:pt idx="62">
                  <c:v>21200</c:v>
                </c:pt>
                <c:pt idx="63">
                  <c:v>21300</c:v>
                </c:pt>
                <c:pt idx="64">
                  <c:v>21400</c:v>
                </c:pt>
                <c:pt idx="65">
                  <c:v>21500</c:v>
                </c:pt>
                <c:pt idx="66">
                  <c:v>21600</c:v>
                </c:pt>
                <c:pt idx="67">
                  <c:v>21700</c:v>
                </c:pt>
                <c:pt idx="68">
                  <c:v>21800</c:v>
                </c:pt>
                <c:pt idx="69">
                  <c:v>21900</c:v>
                </c:pt>
                <c:pt idx="70">
                  <c:v>22000</c:v>
                </c:pt>
                <c:pt idx="71">
                  <c:v>22100</c:v>
                </c:pt>
                <c:pt idx="72">
                  <c:v>22200</c:v>
                </c:pt>
                <c:pt idx="73">
                  <c:v>22300</c:v>
                </c:pt>
                <c:pt idx="74">
                  <c:v>22400</c:v>
                </c:pt>
                <c:pt idx="75">
                  <c:v>22500</c:v>
                </c:pt>
                <c:pt idx="76">
                  <c:v>22600</c:v>
                </c:pt>
                <c:pt idx="77">
                  <c:v>22700</c:v>
                </c:pt>
                <c:pt idx="78">
                  <c:v>22800</c:v>
                </c:pt>
                <c:pt idx="79">
                  <c:v>22900</c:v>
                </c:pt>
                <c:pt idx="80">
                  <c:v>23000</c:v>
                </c:pt>
                <c:pt idx="81">
                  <c:v>23100</c:v>
                </c:pt>
                <c:pt idx="82">
                  <c:v>23200</c:v>
                </c:pt>
                <c:pt idx="83">
                  <c:v>23300</c:v>
                </c:pt>
                <c:pt idx="84">
                  <c:v>23400</c:v>
                </c:pt>
                <c:pt idx="85">
                  <c:v>23500</c:v>
                </c:pt>
                <c:pt idx="86">
                  <c:v>23600</c:v>
                </c:pt>
                <c:pt idx="87">
                  <c:v>23700</c:v>
                </c:pt>
                <c:pt idx="88">
                  <c:v>23800</c:v>
                </c:pt>
                <c:pt idx="89">
                  <c:v>23900</c:v>
                </c:pt>
                <c:pt idx="90">
                  <c:v>24000</c:v>
                </c:pt>
                <c:pt idx="91">
                  <c:v>24100</c:v>
                </c:pt>
                <c:pt idx="92">
                  <c:v>24200</c:v>
                </c:pt>
                <c:pt idx="93">
                  <c:v>24300</c:v>
                </c:pt>
                <c:pt idx="94">
                  <c:v>24400</c:v>
                </c:pt>
                <c:pt idx="95">
                  <c:v>24500</c:v>
                </c:pt>
                <c:pt idx="96">
                  <c:v>24600</c:v>
                </c:pt>
                <c:pt idx="97">
                  <c:v>24700</c:v>
                </c:pt>
                <c:pt idx="98">
                  <c:v>24800</c:v>
                </c:pt>
                <c:pt idx="99">
                  <c:v>24900</c:v>
                </c:pt>
                <c:pt idx="100">
                  <c:v>25000</c:v>
                </c:pt>
                <c:pt idx="101">
                  <c:v>25100</c:v>
                </c:pt>
                <c:pt idx="102">
                  <c:v>25200</c:v>
                </c:pt>
                <c:pt idx="103">
                  <c:v>25300</c:v>
                </c:pt>
                <c:pt idx="104">
                  <c:v>25400</c:v>
                </c:pt>
                <c:pt idx="105">
                  <c:v>25500</c:v>
                </c:pt>
                <c:pt idx="106">
                  <c:v>25600</c:v>
                </c:pt>
                <c:pt idx="107">
                  <c:v>25700</c:v>
                </c:pt>
                <c:pt idx="108">
                  <c:v>25800</c:v>
                </c:pt>
                <c:pt idx="109">
                  <c:v>25900</c:v>
                </c:pt>
                <c:pt idx="110">
                  <c:v>26000</c:v>
                </c:pt>
                <c:pt idx="111">
                  <c:v>26100</c:v>
                </c:pt>
                <c:pt idx="112">
                  <c:v>26200</c:v>
                </c:pt>
                <c:pt idx="113">
                  <c:v>26300</c:v>
                </c:pt>
                <c:pt idx="114">
                  <c:v>26400</c:v>
                </c:pt>
                <c:pt idx="115">
                  <c:v>26500</c:v>
                </c:pt>
                <c:pt idx="116">
                  <c:v>26600</c:v>
                </c:pt>
                <c:pt idx="117">
                  <c:v>26700</c:v>
                </c:pt>
                <c:pt idx="118">
                  <c:v>26800</c:v>
                </c:pt>
                <c:pt idx="119">
                  <c:v>26900</c:v>
                </c:pt>
                <c:pt idx="120">
                  <c:v>27000</c:v>
                </c:pt>
                <c:pt idx="121">
                  <c:v>27100</c:v>
                </c:pt>
                <c:pt idx="122">
                  <c:v>27200</c:v>
                </c:pt>
                <c:pt idx="123">
                  <c:v>27300</c:v>
                </c:pt>
                <c:pt idx="124">
                  <c:v>27400</c:v>
                </c:pt>
                <c:pt idx="125">
                  <c:v>27500</c:v>
                </c:pt>
                <c:pt idx="126">
                  <c:v>27600</c:v>
                </c:pt>
                <c:pt idx="127">
                  <c:v>27700</c:v>
                </c:pt>
                <c:pt idx="128">
                  <c:v>27800</c:v>
                </c:pt>
                <c:pt idx="129">
                  <c:v>27900</c:v>
                </c:pt>
                <c:pt idx="130">
                  <c:v>28000</c:v>
                </c:pt>
                <c:pt idx="131">
                  <c:v>28100</c:v>
                </c:pt>
                <c:pt idx="132">
                  <c:v>28200</c:v>
                </c:pt>
                <c:pt idx="133">
                  <c:v>28300</c:v>
                </c:pt>
                <c:pt idx="134">
                  <c:v>28400</c:v>
                </c:pt>
                <c:pt idx="135">
                  <c:v>28500</c:v>
                </c:pt>
                <c:pt idx="136">
                  <c:v>28600</c:v>
                </c:pt>
                <c:pt idx="137">
                  <c:v>28700</c:v>
                </c:pt>
                <c:pt idx="138">
                  <c:v>28800</c:v>
                </c:pt>
                <c:pt idx="139">
                  <c:v>28900</c:v>
                </c:pt>
                <c:pt idx="140">
                  <c:v>29000</c:v>
                </c:pt>
                <c:pt idx="141">
                  <c:v>29100</c:v>
                </c:pt>
                <c:pt idx="142">
                  <c:v>29200</c:v>
                </c:pt>
                <c:pt idx="143">
                  <c:v>29300</c:v>
                </c:pt>
                <c:pt idx="144">
                  <c:v>29400</c:v>
                </c:pt>
                <c:pt idx="145">
                  <c:v>29500</c:v>
                </c:pt>
                <c:pt idx="146">
                  <c:v>29600</c:v>
                </c:pt>
                <c:pt idx="147">
                  <c:v>29700</c:v>
                </c:pt>
                <c:pt idx="148">
                  <c:v>29800</c:v>
                </c:pt>
                <c:pt idx="149">
                  <c:v>29900</c:v>
                </c:pt>
                <c:pt idx="150">
                  <c:v>30000</c:v>
                </c:pt>
                <c:pt idx="151">
                  <c:v>30100</c:v>
                </c:pt>
                <c:pt idx="152">
                  <c:v>30200</c:v>
                </c:pt>
                <c:pt idx="153">
                  <c:v>30300</c:v>
                </c:pt>
                <c:pt idx="154">
                  <c:v>30400</c:v>
                </c:pt>
                <c:pt idx="155">
                  <c:v>30500</c:v>
                </c:pt>
                <c:pt idx="156">
                  <c:v>30600</c:v>
                </c:pt>
                <c:pt idx="157">
                  <c:v>30700</c:v>
                </c:pt>
                <c:pt idx="158">
                  <c:v>30800</c:v>
                </c:pt>
                <c:pt idx="159">
                  <c:v>30900</c:v>
                </c:pt>
                <c:pt idx="160">
                  <c:v>31000</c:v>
                </c:pt>
                <c:pt idx="161">
                  <c:v>31100</c:v>
                </c:pt>
                <c:pt idx="162">
                  <c:v>31200</c:v>
                </c:pt>
                <c:pt idx="163">
                  <c:v>31300</c:v>
                </c:pt>
                <c:pt idx="164">
                  <c:v>31400</c:v>
                </c:pt>
                <c:pt idx="165">
                  <c:v>31500</c:v>
                </c:pt>
                <c:pt idx="166">
                  <c:v>31600</c:v>
                </c:pt>
                <c:pt idx="167">
                  <c:v>31700</c:v>
                </c:pt>
                <c:pt idx="168">
                  <c:v>31800</c:v>
                </c:pt>
                <c:pt idx="169">
                  <c:v>31900</c:v>
                </c:pt>
                <c:pt idx="170">
                  <c:v>32000</c:v>
                </c:pt>
                <c:pt idx="171">
                  <c:v>32100</c:v>
                </c:pt>
                <c:pt idx="172">
                  <c:v>32200</c:v>
                </c:pt>
                <c:pt idx="173">
                  <c:v>32300</c:v>
                </c:pt>
                <c:pt idx="174">
                  <c:v>32400</c:v>
                </c:pt>
                <c:pt idx="175">
                  <c:v>32500</c:v>
                </c:pt>
                <c:pt idx="176">
                  <c:v>32600</c:v>
                </c:pt>
                <c:pt idx="177">
                  <c:v>32700</c:v>
                </c:pt>
                <c:pt idx="178">
                  <c:v>32800</c:v>
                </c:pt>
                <c:pt idx="179">
                  <c:v>32900</c:v>
                </c:pt>
                <c:pt idx="180">
                  <c:v>33000</c:v>
                </c:pt>
                <c:pt idx="181">
                  <c:v>33100</c:v>
                </c:pt>
                <c:pt idx="182">
                  <c:v>33200</c:v>
                </c:pt>
                <c:pt idx="183">
                  <c:v>33300</c:v>
                </c:pt>
                <c:pt idx="184">
                  <c:v>33400</c:v>
                </c:pt>
                <c:pt idx="185">
                  <c:v>33500</c:v>
                </c:pt>
                <c:pt idx="186">
                  <c:v>33600</c:v>
                </c:pt>
                <c:pt idx="187">
                  <c:v>33700</c:v>
                </c:pt>
                <c:pt idx="188">
                  <c:v>33800</c:v>
                </c:pt>
                <c:pt idx="189">
                  <c:v>33900</c:v>
                </c:pt>
                <c:pt idx="190">
                  <c:v>34000</c:v>
                </c:pt>
                <c:pt idx="191">
                  <c:v>34100</c:v>
                </c:pt>
                <c:pt idx="192">
                  <c:v>34200</c:v>
                </c:pt>
                <c:pt idx="193">
                  <c:v>34300</c:v>
                </c:pt>
                <c:pt idx="194">
                  <c:v>34400</c:v>
                </c:pt>
                <c:pt idx="195">
                  <c:v>34500</c:v>
                </c:pt>
                <c:pt idx="196">
                  <c:v>34600</c:v>
                </c:pt>
                <c:pt idx="197">
                  <c:v>34700</c:v>
                </c:pt>
                <c:pt idx="198">
                  <c:v>34800</c:v>
                </c:pt>
                <c:pt idx="199">
                  <c:v>34900</c:v>
                </c:pt>
                <c:pt idx="200">
                  <c:v>35000</c:v>
                </c:pt>
                <c:pt idx="201">
                  <c:v>35100</c:v>
                </c:pt>
                <c:pt idx="202">
                  <c:v>35200</c:v>
                </c:pt>
                <c:pt idx="203">
                  <c:v>35300</c:v>
                </c:pt>
                <c:pt idx="204">
                  <c:v>35400</c:v>
                </c:pt>
                <c:pt idx="205">
                  <c:v>35500</c:v>
                </c:pt>
                <c:pt idx="206">
                  <c:v>35600</c:v>
                </c:pt>
                <c:pt idx="207">
                  <c:v>35700</c:v>
                </c:pt>
                <c:pt idx="208">
                  <c:v>35800</c:v>
                </c:pt>
                <c:pt idx="209">
                  <c:v>35900</c:v>
                </c:pt>
                <c:pt idx="210">
                  <c:v>36000</c:v>
                </c:pt>
                <c:pt idx="211">
                  <c:v>36100</c:v>
                </c:pt>
                <c:pt idx="212">
                  <c:v>36200</c:v>
                </c:pt>
                <c:pt idx="213">
                  <c:v>36300</c:v>
                </c:pt>
                <c:pt idx="214">
                  <c:v>36400</c:v>
                </c:pt>
                <c:pt idx="215">
                  <c:v>36500</c:v>
                </c:pt>
                <c:pt idx="216">
                  <c:v>36600</c:v>
                </c:pt>
                <c:pt idx="217">
                  <c:v>36700</c:v>
                </c:pt>
                <c:pt idx="218">
                  <c:v>36800</c:v>
                </c:pt>
                <c:pt idx="219">
                  <c:v>36900</c:v>
                </c:pt>
                <c:pt idx="220">
                  <c:v>37000</c:v>
                </c:pt>
                <c:pt idx="221">
                  <c:v>37100</c:v>
                </c:pt>
                <c:pt idx="222">
                  <c:v>37200</c:v>
                </c:pt>
                <c:pt idx="223">
                  <c:v>37300</c:v>
                </c:pt>
                <c:pt idx="224">
                  <c:v>37400</c:v>
                </c:pt>
                <c:pt idx="225">
                  <c:v>37500</c:v>
                </c:pt>
              </c:numCache>
            </c:numRef>
          </c:xVal>
          <c:yVal>
            <c:numRef>
              <c:f>'NW Limits'!$E$3:$E$228</c:f>
              <c:numCache>
                <c:formatCode>0.00%</c:formatCode>
                <c:ptCount val="226"/>
                <c:pt idx="0">
                  <c:v>0.41100000000000003</c:v>
                </c:pt>
                <c:pt idx="1">
                  <c:v>0.41100000000000003</c:v>
                </c:pt>
                <c:pt idx="2">
                  <c:v>0.41200000000000003</c:v>
                </c:pt>
                <c:pt idx="3">
                  <c:v>0.41200000000000003</c:v>
                </c:pt>
                <c:pt idx="4">
                  <c:v>0.41299999999999998</c:v>
                </c:pt>
                <c:pt idx="5">
                  <c:v>0.41299999999999998</c:v>
                </c:pt>
                <c:pt idx="6">
                  <c:v>0.41399999999999998</c:v>
                </c:pt>
                <c:pt idx="7">
                  <c:v>0.41399999999999998</c:v>
                </c:pt>
                <c:pt idx="8">
                  <c:v>0.41499999999999998</c:v>
                </c:pt>
                <c:pt idx="9">
                  <c:v>0.41499999999999998</c:v>
                </c:pt>
                <c:pt idx="10">
                  <c:v>0.41600000000000004</c:v>
                </c:pt>
                <c:pt idx="11">
                  <c:v>0.41600000000000004</c:v>
                </c:pt>
                <c:pt idx="12">
                  <c:v>0.41700000000000004</c:v>
                </c:pt>
                <c:pt idx="13">
                  <c:v>0.41700000000000004</c:v>
                </c:pt>
                <c:pt idx="14">
                  <c:v>0.41799999999999998</c:v>
                </c:pt>
                <c:pt idx="15">
                  <c:v>0.41799999999999998</c:v>
                </c:pt>
                <c:pt idx="16">
                  <c:v>0.41799999999999998</c:v>
                </c:pt>
                <c:pt idx="17">
                  <c:v>0.41899999999999998</c:v>
                </c:pt>
                <c:pt idx="18">
                  <c:v>0.41899999999999998</c:v>
                </c:pt>
                <c:pt idx="19">
                  <c:v>0.42</c:v>
                </c:pt>
                <c:pt idx="20">
                  <c:v>0.42</c:v>
                </c:pt>
                <c:pt idx="21">
                  <c:v>0.42</c:v>
                </c:pt>
                <c:pt idx="22">
                  <c:v>0.42100000000000004</c:v>
                </c:pt>
                <c:pt idx="23">
                  <c:v>0.42100000000000004</c:v>
                </c:pt>
                <c:pt idx="24">
                  <c:v>0.42200000000000004</c:v>
                </c:pt>
                <c:pt idx="25">
                  <c:v>0.42200000000000004</c:v>
                </c:pt>
                <c:pt idx="26">
                  <c:v>0.42200000000000004</c:v>
                </c:pt>
                <c:pt idx="27">
                  <c:v>0.42299999999999999</c:v>
                </c:pt>
                <c:pt idx="28">
                  <c:v>0.42299999999999999</c:v>
                </c:pt>
                <c:pt idx="29">
                  <c:v>0.42399999999999999</c:v>
                </c:pt>
                <c:pt idx="30">
                  <c:v>0.42399999999999999</c:v>
                </c:pt>
                <c:pt idx="31">
                  <c:v>0.42399999999999999</c:v>
                </c:pt>
                <c:pt idx="32">
                  <c:v>0.42499999999999999</c:v>
                </c:pt>
                <c:pt idx="33">
                  <c:v>0.42499999999999999</c:v>
                </c:pt>
                <c:pt idx="34">
                  <c:v>0.42499999999999999</c:v>
                </c:pt>
                <c:pt idx="35">
                  <c:v>0.42599999999999999</c:v>
                </c:pt>
                <c:pt idx="36">
                  <c:v>0.42599999999999999</c:v>
                </c:pt>
                <c:pt idx="37">
                  <c:v>0.42599999999999999</c:v>
                </c:pt>
                <c:pt idx="38">
                  <c:v>0.42700000000000005</c:v>
                </c:pt>
                <c:pt idx="39">
                  <c:v>0.42700000000000005</c:v>
                </c:pt>
                <c:pt idx="40">
                  <c:v>0.42700000000000005</c:v>
                </c:pt>
                <c:pt idx="41">
                  <c:v>0.42799999999999999</c:v>
                </c:pt>
                <c:pt idx="42">
                  <c:v>0.42799999999999999</c:v>
                </c:pt>
                <c:pt idx="43">
                  <c:v>0.42799999999999999</c:v>
                </c:pt>
                <c:pt idx="44">
                  <c:v>0.42899999999999999</c:v>
                </c:pt>
                <c:pt idx="45">
                  <c:v>0.42899999999999999</c:v>
                </c:pt>
                <c:pt idx="46">
                  <c:v>0.42899999999999999</c:v>
                </c:pt>
                <c:pt idx="47">
                  <c:v>0.43</c:v>
                </c:pt>
                <c:pt idx="48">
                  <c:v>0.43</c:v>
                </c:pt>
                <c:pt idx="49">
                  <c:v>0.43</c:v>
                </c:pt>
                <c:pt idx="50">
                  <c:v>0.43</c:v>
                </c:pt>
                <c:pt idx="51">
                  <c:v>0.43099999999999999</c:v>
                </c:pt>
                <c:pt idx="52">
                  <c:v>0.43099999999999999</c:v>
                </c:pt>
                <c:pt idx="53">
                  <c:v>0.43099999999999999</c:v>
                </c:pt>
                <c:pt idx="54">
                  <c:v>0.43200000000000005</c:v>
                </c:pt>
                <c:pt idx="55">
                  <c:v>0.43200000000000005</c:v>
                </c:pt>
                <c:pt idx="56">
                  <c:v>0.43200000000000005</c:v>
                </c:pt>
                <c:pt idx="57">
                  <c:v>0.43200000000000005</c:v>
                </c:pt>
                <c:pt idx="58">
                  <c:v>0.433</c:v>
                </c:pt>
                <c:pt idx="59">
                  <c:v>0.433</c:v>
                </c:pt>
                <c:pt idx="60">
                  <c:v>0.433</c:v>
                </c:pt>
                <c:pt idx="61">
                  <c:v>0.433</c:v>
                </c:pt>
                <c:pt idx="62">
                  <c:v>0.434</c:v>
                </c:pt>
                <c:pt idx="63">
                  <c:v>0.434</c:v>
                </c:pt>
                <c:pt idx="64">
                  <c:v>0.434</c:v>
                </c:pt>
                <c:pt idx="65">
                  <c:v>0.435</c:v>
                </c:pt>
                <c:pt idx="66">
                  <c:v>0.435</c:v>
                </c:pt>
                <c:pt idx="67">
                  <c:v>0.435</c:v>
                </c:pt>
                <c:pt idx="68">
                  <c:v>0.435</c:v>
                </c:pt>
                <c:pt idx="69">
                  <c:v>0.436</c:v>
                </c:pt>
                <c:pt idx="70">
                  <c:v>0.436</c:v>
                </c:pt>
                <c:pt idx="71">
                  <c:v>0.436</c:v>
                </c:pt>
                <c:pt idx="72">
                  <c:v>0.436</c:v>
                </c:pt>
                <c:pt idx="73">
                  <c:v>0.436</c:v>
                </c:pt>
                <c:pt idx="74">
                  <c:v>0.43700000000000006</c:v>
                </c:pt>
                <c:pt idx="75">
                  <c:v>0.43700000000000006</c:v>
                </c:pt>
                <c:pt idx="76">
                  <c:v>0.43700000000000006</c:v>
                </c:pt>
                <c:pt idx="77">
                  <c:v>0.43700000000000006</c:v>
                </c:pt>
                <c:pt idx="78">
                  <c:v>0.43799999999999994</c:v>
                </c:pt>
                <c:pt idx="79">
                  <c:v>0.43799999999999994</c:v>
                </c:pt>
                <c:pt idx="80">
                  <c:v>0.43799999999999994</c:v>
                </c:pt>
                <c:pt idx="81">
                  <c:v>0.43799999999999994</c:v>
                </c:pt>
                <c:pt idx="82">
                  <c:v>0.439</c:v>
                </c:pt>
                <c:pt idx="83">
                  <c:v>0.439</c:v>
                </c:pt>
                <c:pt idx="84">
                  <c:v>0.439</c:v>
                </c:pt>
                <c:pt idx="85">
                  <c:v>0.439</c:v>
                </c:pt>
                <c:pt idx="86">
                  <c:v>0.439</c:v>
                </c:pt>
                <c:pt idx="87">
                  <c:v>0.44</c:v>
                </c:pt>
                <c:pt idx="88">
                  <c:v>0.44</c:v>
                </c:pt>
                <c:pt idx="89">
                  <c:v>0.44</c:v>
                </c:pt>
                <c:pt idx="90">
                  <c:v>0.44</c:v>
                </c:pt>
                <c:pt idx="91">
                  <c:v>0.44</c:v>
                </c:pt>
                <c:pt idx="92">
                  <c:v>0.441</c:v>
                </c:pt>
                <c:pt idx="93">
                  <c:v>0.441</c:v>
                </c:pt>
                <c:pt idx="94">
                  <c:v>0.441</c:v>
                </c:pt>
                <c:pt idx="95">
                  <c:v>0.441</c:v>
                </c:pt>
                <c:pt idx="96">
                  <c:v>0.441</c:v>
                </c:pt>
                <c:pt idx="97">
                  <c:v>0.442</c:v>
                </c:pt>
                <c:pt idx="98">
                  <c:v>0.442</c:v>
                </c:pt>
                <c:pt idx="99">
                  <c:v>0.442</c:v>
                </c:pt>
                <c:pt idx="100">
                  <c:v>0.442</c:v>
                </c:pt>
                <c:pt idx="101">
                  <c:v>0.442</c:v>
                </c:pt>
                <c:pt idx="102">
                  <c:v>0.44299999999999995</c:v>
                </c:pt>
                <c:pt idx="103">
                  <c:v>0.44299999999999995</c:v>
                </c:pt>
                <c:pt idx="104">
                  <c:v>0.44299999999999995</c:v>
                </c:pt>
                <c:pt idx="105">
                  <c:v>0.44299999999999995</c:v>
                </c:pt>
                <c:pt idx="106">
                  <c:v>0.44299999999999995</c:v>
                </c:pt>
                <c:pt idx="107">
                  <c:v>0.44299999999999995</c:v>
                </c:pt>
                <c:pt idx="108">
                  <c:v>0.44400000000000001</c:v>
                </c:pt>
                <c:pt idx="109">
                  <c:v>0.44400000000000001</c:v>
                </c:pt>
                <c:pt idx="110">
                  <c:v>0.44400000000000001</c:v>
                </c:pt>
                <c:pt idx="111">
                  <c:v>0.44400000000000001</c:v>
                </c:pt>
                <c:pt idx="112">
                  <c:v>0.44400000000000001</c:v>
                </c:pt>
                <c:pt idx="113">
                  <c:v>0.44500000000000001</c:v>
                </c:pt>
                <c:pt idx="114">
                  <c:v>0.44500000000000001</c:v>
                </c:pt>
                <c:pt idx="115">
                  <c:v>0.44500000000000001</c:v>
                </c:pt>
                <c:pt idx="116">
                  <c:v>0.44500000000000001</c:v>
                </c:pt>
                <c:pt idx="117">
                  <c:v>0.44500000000000001</c:v>
                </c:pt>
                <c:pt idx="118">
                  <c:v>0.44500000000000001</c:v>
                </c:pt>
                <c:pt idx="119">
                  <c:v>0.44600000000000001</c:v>
                </c:pt>
                <c:pt idx="120">
                  <c:v>0.44600000000000001</c:v>
                </c:pt>
                <c:pt idx="121">
                  <c:v>0.44600000000000001</c:v>
                </c:pt>
                <c:pt idx="122">
                  <c:v>0.44600000000000001</c:v>
                </c:pt>
                <c:pt idx="123">
                  <c:v>0.44600000000000001</c:v>
                </c:pt>
                <c:pt idx="124">
                  <c:v>0.44600000000000001</c:v>
                </c:pt>
                <c:pt idx="125">
                  <c:v>0.44600000000000001</c:v>
                </c:pt>
                <c:pt idx="126">
                  <c:v>0.44700000000000001</c:v>
                </c:pt>
                <c:pt idx="127">
                  <c:v>0.44700000000000001</c:v>
                </c:pt>
                <c:pt idx="128">
                  <c:v>0.44700000000000001</c:v>
                </c:pt>
                <c:pt idx="129">
                  <c:v>0.44700000000000001</c:v>
                </c:pt>
                <c:pt idx="130">
                  <c:v>0.44700000000000001</c:v>
                </c:pt>
                <c:pt idx="131">
                  <c:v>0.44700000000000001</c:v>
                </c:pt>
                <c:pt idx="132">
                  <c:v>0.44799999999999995</c:v>
                </c:pt>
                <c:pt idx="133">
                  <c:v>0.44799999999999995</c:v>
                </c:pt>
                <c:pt idx="134">
                  <c:v>0.44799999999999995</c:v>
                </c:pt>
                <c:pt idx="135">
                  <c:v>0.44799999999999995</c:v>
                </c:pt>
                <c:pt idx="136">
                  <c:v>0.44799999999999995</c:v>
                </c:pt>
                <c:pt idx="137">
                  <c:v>0.44799999999999995</c:v>
                </c:pt>
                <c:pt idx="138">
                  <c:v>0.44799999999999995</c:v>
                </c:pt>
                <c:pt idx="139">
                  <c:v>0.44900000000000001</c:v>
                </c:pt>
                <c:pt idx="140">
                  <c:v>0.44900000000000001</c:v>
                </c:pt>
                <c:pt idx="141">
                  <c:v>0.44900000000000001</c:v>
                </c:pt>
                <c:pt idx="142">
                  <c:v>0.44900000000000001</c:v>
                </c:pt>
                <c:pt idx="143">
                  <c:v>0.44900000000000001</c:v>
                </c:pt>
                <c:pt idx="144">
                  <c:v>0.44900000000000001</c:v>
                </c:pt>
                <c:pt idx="145">
                  <c:v>0.44900000000000001</c:v>
                </c:pt>
                <c:pt idx="146">
                  <c:v>0.45</c:v>
                </c:pt>
                <c:pt idx="147">
                  <c:v>0.45</c:v>
                </c:pt>
                <c:pt idx="148">
                  <c:v>0.45</c:v>
                </c:pt>
                <c:pt idx="149">
                  <c:v>0.45</c:v>
                </c:pt>
                <c:pt idx="150">
                  <c:v>0.45</c:v>
                </c:pt>
                <c:pt idx="151">
                  <c:v>0.45</c:v>
                </c:pt>
                <c:pt idx="152">
                  <c:v>0.45</c:v>
                </c:pt>
                <c:pt idx="153">
                  <c:v>0.45</c:v>
                </c:pt>
                <c:pt idx="154">
                  <c:v>0.45100000000000001</c:v>
                </c:pt>
                <c:pt idx="155">
                  <c:v>0.45100000000000001</c:v>
                </c:pt>
                <c:pt idx="156">
                  <c:v>0.45100000000000001</c:v>
                </c:pt>
                <c:pt idx="157">
                  <c:v>0.45100000000000001</c:v>
                </c:pt>
                <c:pt idx="158">
                  <c:v>0.45100000000000001</c:v>
                </c:pt>
                <c:pt idx="159">
                  <c:v>0.45100000000000001</c:v>
                </c:pt>
                <c:pt idx="160">
                  <c:v>0.45100000000000001</c:v>
                </c:pt>
                <c:pt idx="161">
                  <c:v>0.45100000000000001</c:v>
                </c:pt>
                <c:pt idx="162">
                  <c:v>0.45200000000000001</c:v>
                </c:pt>
                <c:pt idx="163">
                  <c:v>0.45200000000000001</c:v>
                </c:pt>
                <c:pt idx="164">
                  <c:v>0.45200000000000001</c:v>
                </c:pt>
                <c:pt idx="165">
                  <c:v>0.45200000000000001</c:v>
                </c:pt>
                <c:pt idx="166">
                  <c:v>0.45200000000000001</c:v>
                </c:pt>
                <c:pt idx="167">
                  <c:v>0.45200000000000001</c:v>
                </c:pt>
                <c:pt idx="168">
                  <c:v>0.45200000000000001</c:v>
                </c:pt>
                <c:pt idx="169">
                  <c:v>0.45200000000000001</c:v>
                </c:pt>
                <c:pt idx="170">
                  <c:v>0.45200000000000001</c:v>
                </c:pt>
                <c:pt idx="171">
                  <c:v>0.45299999999999996</c:v>
                </c:pt>
                <c:pt idx="172">
                  <c:v>0.45299999999999996</c:v>
                </c:pt>
                <c:pt idx="173">
                  <c:v>0.45299999999999996</c:v>
                </c:pt>
                <c:pt idx="174">
                  <c:v>0.45299999999999996</c:v>
                </c:pt>
                <c:pt idx="175">
                  <c:v>0.45299999999999996</c:v>
                </c:pt>
                <c:pt idx="176">
                  <c:v>0.45299999999999996</c:v>
                </c:pt>
                <c:pt idx="177">
                  <c:v>0.45299999999999996</c:v>
                </c:pt>
                <c:pt idx="178">
                  <c:v>0.45299999999999996</c:v>
                </c:pt>
                <c:pt idx="179">
                  <c:v>0.45299999999999996</c:v>
                </c:pt>
                <c:pt idx="180">
                  <c:v>0.45399999999999996</c:v>
                </c:pt>
                <c:pt idx="181">
                  <c:v>0.45399999999999996</c:v>
                </c:pt>
                <c:pt idx="182">
                  <c:v>0.45399999999999996</c:v>
                </c:pt>
                <c:pt idx="183">
                  <c:v>0.45399999999999996</c:v>
                </c:pt>
                <c:pt idx="184">
                  <c:v>0.45399999999999996</c:v>
                </c:pt>
                <c:pt idx="185">
                  <c:v>0.45399999999999996</c:v>
                </c:pt>
                <c:pt idx="186">
                  <c:v>0.45399999999999996</c:v>
                </c:pt>
                <c:pt idx="187">
                  <c:v>0.45399999999999996</c:v>
                </c:pt>
                <c:pt idx="188">
                  <c:v>0.45399999999999996</c:v>
                </c:pt>
                <c:pt idx="189">
                  <c:v>0.45500000000000002</c:v>
                </c:pt>
                <c:pt idx="190">
                  <c:v>0.45500000000000002</c:v>
                </c:pt>
                <c:pt idx="191">
                  <c:v>0.45500000000000002</c:v>
                </c:pt>
                <c:pt idx="192">
                  <c:v>0.45399999999999996</c:v>
                </c:pt>
                <c:pt idx="193">
                  <c:v>0.45100000000000001</c:v>
                </c:pt>
                <c:pt idx="194">
                  <c:v>0.44799999999999995</c:v>
                </c:pt>
                <c:pt idx="195">
                  <c:v>0.44500000000000001</c:v>
                </c:pt>
                <c:pt idx="196">
                  <c:v>0.442</c:v>
                </c:pt>
                <c:pt idx="197">
                  <c:v>0.439</c:v>
                </c:pt>
                <c:pt idx="198">
                  <c:v>0.435</c:v>
                </c:pt>
                <c:pt idx="199">
                  <c:v>0.43200000000000005</c:v>
                </c:pt>
                <c:pt idx="200">
                  <c:v>0.42899999999999999</c:v>
                </c:pt>
                <c:pt idx="201">
                  <c:v>0.42599999999999999</c:v>
                </c:pt>
                <c:pt idx="202">
                  <c:v>0.42299999999999999</c:v>
                </c:pt>
                <c:pt idx="203">
                  <c:v>0.42</c:v>
                </c:pt>
                <c:pt idx="204">
                  <c:v>0.41700000000000004</c:v>
                </c:pt>
                <c:pt idx="205">
                  <c:v>0.41399999999999998</c:v>
                </c:pt>
                <c:pt idx="206">
                  <c:v>0.41100000000000003</c:v>
                </c:pt>
                <c:pt idx="207">
                  <c:v>0.40799999999999997</c:v>
                </c:pt>
                <c:pt idx="208">
                  <c:v>0.40500000000000003</c:v>
                </c:pt>
                <c:pt idx="209">
                  <c:v>0.40200000000000002</c:v>
                </c:pt>
                <c:pt idx="210">
                  <c:v>0.4</c:v>
                </c:pt>
                <c:pt idx="211">
                  <c:v>0.39700000000000002</c:v>
                </c:pt>
                <c:pt idx="212">
                  <c:v>0.39399999999999996</c:v>
                </c:pt>
                <c:pt idx="213">
                  <c:v>0.39100000000000001</c:v>
                </c:pt>
                <c:pt idx="214">
                  <c:v>0.38799999999999996</c:v>
                </c:pt>
                <c:pt idx="215">
                  <c:v>0.38500000000000001</c:v>
                </c:pt>
                <c:pt idx="216">
                  <c:v>0.38200000000000001</c:v>
                </c:pt>
                <c:pt idx="217">
                  <c:v>0.38</c:v>
                </c:pt>
                <c:pt idx="218">
                  <c:v>0.377</c:v>
                </c:pt>
                <c:pt idx="219">
                  <c:v>0.374</c:v>
                </c:pt>
                <c:pt idx="220">
                  <c:v>0.371</c:v>
                </c:pt>
                <c:pt idx="221">
                  <c:v>0.36899999999999999</c:v>
                </c:pt>
                <c:pt idx="222">
                  <c:v>0.36599999999999999</c:v>
                </c:pt>
                <c:pt idx="223">
                  <c:v>0.36299999999999999</c:v>
                </c:pt>
                <c:pt idx="224">
                  <c:v>0.36</c:v>
                </c:pt>
                <c:pt idx="225">
                  <c:v>0.35799999999999998</c:v>
                </c:pt>
              </c:numCache>
            </c:numRef>
          </c:yVal>
          <c:smooth val="1"/>
        </c:ser>
        <c:axId val="96913664"/>
        <c:axId val="96927744"/>
      </c:scatterChart>
      <c:valAx>
        <c:axId val="96913664"/>
        <c:scaling>
          <c:orientation val="minMax"/>
          <c:min val="15000"/>
        </c:scaling>
        <c:axPos val="t"/>
        <c:numFmt formatCode="#,##0" sourceLinked="1"/>
        <c:tickLblPos val="nextTo"/>
        <c:crossAx val="96927744"/>
        <c:crosses val="autoZero"/>
        <c:crossBetween val="midCat"/>
      </c:valAx>
      <c:valAx>
        <c:axId val="96927744"/>
        <c:scaling>
          <c:orientation val="maxMin"/>
          <c:max val="0.5"/>
          <c:min val="0.1"/>
        </c:scaling>
        <c:axPos val="l"/>
        <c:majorGridlines/>
        <c:numFmt formatCode="0.00%" sourceLinked="1"/>
        <c:tickLblPos val="nextTo"/>
        <c:crossAx val="969136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Block</a:t>
            </a:r>
            <a:r>
              <a:rPr lang="en-US" baseline="0"/>
              <a:t> 40/42/50/52</a:t>
            </a:r>
            <a:endParaRPr lang="en-US"/>
          </a:p>
        </c:rich>
      </c:tx>
      <c:overlay val="1"/>
    </c:title>
    <c:plotArea>
      <c:layout>
        <c:manualLayout>
          <c:layoutTarget val="inner"/>
          <c:xMode val="edge"/>
          <c:yMode val="edge"/>
          <c:x val="7.7924220511397108E-2"/>
          <c:y val="0.16345888528640512"/>
          <c:w val="0.65740659040996496"/>
          <c:h val="0.80170968040760004"/>
        </c:manualLayout>
      </c:layout>
      <c:scatterChart>
        <c:scatterStyle val="smoothMarker"/>
        <c:ser>
          <c:idx val="0"/>
          <c:order val="0"/>
          <c:tx>
            <c:strRef>
              <c:f>'NW Limits'!$G$2</c:f>
              <c:strCache>
                <c:ptCount val="1"/>
                <c:pt idx="0">
                  <c:v>Fwd %MAC</c:v>
                </c:pt>
              </c:strCache>
            </c:strRef>
          </c:tx>
          <c:marker>
            <c:symbol val="none"/>
          </c:marker>
          <c:xVal>
            <c:numRef>
              <c:f>'NW Limits'!$F$3:$F$276</c:f>
              <c:numCache>
                <c:formatCode>#,##0</c:formatCode>
                <c:ptCount val="274"/>
                <c:pt idx="0">
                  <c:v>15000</c:v>
                </c:pt>
                <c:pt idx="1">
                  <c:v>15100</c:v>
                </c:pt>
                <c:pt idx="2">
                  <c:v>15200</c:v>
                </c:pt>
                <c:pt idx="3">
                  <c:v>15300</c:v>
                </c:pt>
                <c:pt idx="4">
                  <c:v>15400</c:v>
                </c:pt>
                <c:pt idx="5">
                  <c:v>15500</c:v>
                </c:pt>
                <c:pt idx="6">
                  <c:v>15600</c:v>
                </c:pt>
                <c:pt idx="7">
                  <c:v>15700</c:v>
                </c:pt>
                <c:pt idx="8">
                  <c:v>15800</c:v>
                </c:pt>
                <c:pt idx="9">
                  <c:v>15900</c:v>
                </c:pt>
                <c:pt idx="10">
                  <c:v>16000</c:v>
                </c:pt>
                <c:pt idx="11">
                  <c:v>16100</c:v>
                </c:pt>
                <c:pt idx="12">
                  <c:v>16200</c:v>
                </c:pt>
                <c:pt idx="13">
                  <c:v>16300</c:v>
                </c:pt>
                <c:pt idx="14">
                  <c:v>16400</c:v>
                </c:pt>
                <c:pt idx="15">
                  <c:v>16500</c:v>
                </c:pt>
                <c:pt idx="16">
                  <c:v>16600</c:v>
                </c:pt>
                <c:pt idx="17">
                  <c:v>16700</c:v>
                </c:pt>
                <c:pt idx="18">
                  <c:v>16800</c:v>
                </c:pt>
                <c:pt idx="19">
                  <c:v>16900</c:v>
                </c:pt>
                <c:pt idx="20">
                  <c:v>17000</c:v>
                </c:pt>
                <c:pt idx="21">
                  <c:v>17100</c:v>
                </c:pt>
                <c:pt idx="22">
                  <c:v>17200</c:v>
                </c:pt>
                <c:pt idx="23">
                  <c:v>17300</c:v>
                </c:pt>
                <c:pt idx="24">
                  <c:v>17400</c:v>
                </c:pt>
                <c:pt idx="25">
                  <c:v>17500</c:v>
                </c:pt>
                <c:pt idx="26">
                  <c:v>17600</c:v>
                </c:pt>
                <c:pt idx="27">
                  <c:v>17700</c:v>
                </c:pt>
                <c:pt idx="28">
                  <c:v>17800</c:v>
                </c:pt>
                <c:pt idx="29">
                  <c:v>17900</c:v>
                </c:pt>
                <c:pt idx="30">
                  <c:v>18000</c:v>
                </c:pt>
                <c:pt idx="31">
                  <c:v>18100</c:v>
                </c:pt>
                <c:pt idx="32">
                  <c:v>18200</c:v>
                </c:pt>
                <c:pt idx="33">
                  <c:v>18300</c:v>
                </c:pt>
                <c:pt idx="34">
                  <c:v>18400</c:v>
                </c:pt>
                <c:pt idx="35">
                  <c:v>18500</c:v>
                </c:pt>
                <c:pt idx="36">
                  <c:v>18600</c:v>
                </c:pt>
                <c:pt idx="37">
                  <c:v>18700</c:v>
                </c:pt>
                <c:pt idx="38">
                  <c:v>18800</c:v>
                </c:pt>
                <c:pt idx="39">
                  <c:v>18900</c:v>
                </c:pt>
                <c:pt idx="40">
                  <c:v>19000</c:v>
                </c:pt>
                <c:pt idx="41">
                  <c:v>19100</c:v>
                </c:pt>
                <c:pt idx="42">
                  <c:v>19200</c:v>
                </c:pt>
                <c:pt idx="43">
                  <c:v>19300</c:v>
                </c:pt>
                <c:pt idx="44">
                  <c:v>19400</c:v>
                </c:pt>
                <c:pt idx="45">
                  <c:v>19500</c:v>
                </c:pt>
                <c:pt idx="46">
                  <c:v>19600</c:v>
                </c:pt>
                <c:pt idx="47">
                  <c:v>19700</c:v>
                </c:pt>
                <c:pt idx="48">
                  <c:v>19800</c:v>
                </c:pt>
                <c:pt idx="49">
                  <c:v>19900</c:v>
                </c:pt>
                <c:pt idx="50">
                  <c:v>20000</c:v>
                </c:pt>
                <c:pt idx="51">
                  <c:v>20100</c:v>
                </c:pt>
                <c:pt idx="52">
                  <c:v>20200</c:v>
                </c:pt>
                <c:pt idx="53">
                  <c:v>20300</c:v>
                </c:pt>
                <c:pt idx="54">
                  <c:v>20400</c:v>
                </c:pt>
                <c:pt idx="55">
                  <c:v>20500</c:v>
                </c:pt>
                <c:pt idx="56">
                  <c:v>20600</c:v>
                </c:pt>
                <c:pt idx="57">
                  <c:v>20700</c:v>
                </c:pt>
                <c:pt idx="58">
                  <c:v>20800</c:v>
                </c:pt>
                <c:pt idx="59">
                  <c:v>20900</c:v>
                </c:pt>
                <c:pt idx="60">
                  <c:v>21000</c:v>
                </c:pt>
                <c:pt idx="61">
                  <c:v>21100</c:v>
                </c:pt>
                <c:pt idx="62">
                  <c:v>21200</c:v>
                </c:pt>
                <c:pt idx="63">
                  <c:v>21300</c:v>
                </c:pt>
                <c:pt idx="64">
                  <c:v>21400</c:v>
                </c:pt>
                <c:pt idx="65">
                  <c:v>21500</c:v>
                </c:pt>
                <c:pt idx="66">
                  <c:v>21600</c:v>
                </c:pt>
                <c:pt idx="67">
                  <c:v>21700</c:v>
                </c:pt>
                <c:pt idx="68">
                  <c:v>21800</c:v>
                </c:pt>
                <c:pt idx="69">
                  <c:v>21900</c:v>
                </c:pt>
                <c:pt idx="70">
                  <c:v>22000</c:v>
                </c:pt>
                <c:pt idx="71">
                  <c:v>22100</c:v>
                </c:pt>
                <c:pt idx="72">
                  <c:v>22200</c:v>
                </c:pt>
                <c:pt idx="73">
                  <c:v>22300</c:v>
                </c:pt>
                <c:pt idx="74">
                  <c:v>22400</c:v>
                </c:pt>
                <c:pt idx="75">
                  <c:v>22500</c:v>
                </c:pt>
                <c:pt idx="76">
                  <c:v>22600</c:v>
                </c:pt>
                <c:pt idx="77">
                  <c:v>22700</c:v>
                </c:pt>
                <c:pt idx="78">
                  <c:v>22800</c:v>
                </c:pt>
                <c:pt idx="79">
                  <c:v>22900</c:v>
                </c:pt>
                <c:pt idx="80">
                  <c:v>23000</c:v>
                </c:pt>
                <c:pt idx="81">
                  <c:v>23100</c:v>
                </c:pt>
                <c:pt idx="82">
                  <c:v>23200</c:v>
                </c:pt>
                <c:pt idx="83">
                  <c:v>23300</c:v>
                </c:pt>
                <c:pt idx="84">
                  <c:v>23400</c:v>
                </c:pt>
                <c:pt idx="85">
                  <c:v>23500</c:v>
                </c:pt>
                <c:pt idx="86">
                  <c:v>23600</c:v>
                </c:pt>
                <c:pt idx="87">
                  <c:v>23700</c:v>
                </c:pt>
                <c:pt idx="88">
                  <c:v>23800</c:v>
                </c:pt>
                <c:pt idx="89">
                  <c:v>23900</c:v>
                </c:pt>
                <c:pt idx="90">
                  <c:v>24000</c:v>
                </c:pt>
                <c:pt idx="91">
                  <c:v>24100</c:v>
                </c:pt>
                <c:pt idx="92">
                  <c:v>24200</c:v>
                </c:pt>
                <c:pt idx="93">
                  <c:v>24300</c:v>
                </c:pt>
                <c:pt idx="94">
                  <c:v>24400</c:v>
                </c:pt>
                <c:pt idx="95">
                  <c:v>24500</c:v>
                </c:pt>
                <c:pt idx="96">
                  <c:v>24600</c:v>
                </c:pt>
                <c:pt idx="97">
                  <c:v>24700</c:v>
                </c:pt>
                <c:pt idx="98">
                  <c:v>24800</c:v>
                </c:pt>
                <c:pt idx="99">
                  <c:v>24900</c:v>
                </c:pt>
                <c:pt idx="100">
                  <c:v>25000</c:v>
                </c:pt>
                <c:pt idx="101">
                  <c:v>25100</c:v>
                </c:pt>
                <c:pt idx="102">
                  <c:v>25200</c:v>
                </c:pt>
                <c:pt idx="103">
                  <c:v>25300</c:v>
                </c:pt>
                <c:pt idx="104">
                  <c:v>25400</c:v>
                </c:pt>
                <c:pt idx="105">
                  <c:v>25500</c:v>
                </c:pt>
                <c:pt idx="106">
                  <c:v>25600</c:v>
                </c:pt>
                <c:pt idx="107">
                  <c:v>25700</c:v>
                </c:pt>
                <c:pt idx="108">
                  <c:v>25800</c:v>
                </c:pt>
                <c:pt idx="109">
                  <c:v>25900</c:v>
                </c:pt>
                <c:pt idx="110">
                  <c:v>26000</c:v>
                </c:pt>
                <c:pt idx="111">
                  <c:v>26100</c:v>
                </c:pt>
                <c:pt idx="112">
                  <c:v>26200</c:v>
                </c:pt>
                <c:pt idx="113">
                  <c:v>26300</c:v>
                </c:pt>
                <c:pt idx="114">
                  <c:v>26400</c:v>
                </c:pt>
                <c:pt idx="115">
                  <c:v>26500</c:v>
                </c:pt>
                <c:pt idx="116">
                  <c:v>26600</c:v>
                </c:pt>
                <c:pt idx="117">
                  <c:v>26700</c:v>
                </c:pt>
                <c:pt idx="118">
                  <c:v>26800</c:v>
                </c:pt>
                <c:pt idx="119">
                  <c:v>26900</c:v>
                </c:pt>
                <c:pt idx="120">
                  <c:v>27000</c:v>
                </c:pt>
                <c:pt idx="121">
                  <c:v>27100</c:v>
                </c:pt>
                <c:pt idx="122">
                  <c:v>27200</c:v>
                </c:pt>
                <c:pt idx="123">
                  <c:v>27300</c:v>
                </c:pt>
                <c:pt idx="124">
                  <c:v>27400</c:v>
                </c:pt>
                <c:pt idx="125">
                  <c:v>27500</c:v>
                </c:pt>
                <c:pt idx="126">
                  <c:v>27600</c:v>
                </c:pt>
                <c:pt idx="127">
                  <c:v>27700</c:v>
                </c:pt>
                <c:pt idx="128">
                  <c:v>27800</c:v>
                </c:pt>
                <c:pt idx="129">
                  <c:v>27900</c:v>
                </c:pt>
                <c:pt idx="130">
                  <c:v>28000</c:v>
                </c:pt>
                <c:pt idx="131">
                  <c:v>28100</c:v>
                </c:pt>
                <c:pt idx="132">
                  <c:v>28200</c:v>
                </c:pt>
                <c:pt idx="133">
                  <c:v>28300</c:v>
                </c:pt>
                <c:pt idx="134">
                  <c:v>28400</c:v>
                </c:pt>
                <c:pt idx="135">
                  <c:v>28500</c:v>
                </c:pt>
                <c:pt idx="136">
                  <c:v>28600</c:v>
                </c:pt>
                <c:pt idx="137">
                  <c:v>28700</c:v>
                </c:pt>
                <c:pt idx="138">
                  <c:v>28800</c:v>
                </c:pt>
                <c:pt idx="139">
                  <c:v>28900</c:v>
                </c:pt>
                <c:pt idx="140">
                  <c:v>29000</c:v>
                </c:pt>
                <c:pt idx="141">
                  <c:v>29100</c:v>
                </c:pt>
                <c:pt idx="142">
                  <c:v>29200</c:v>
                </c:pt>
                <c:pt idx="143">
                  <c:v>29300</c:v>
                </c:pt>
                <c:pt idx="144">
                  <c:v>29400</c:v>
                </c:pt>
                <c:pt idx="145">
                  <c:v>29500</c:v>
                </c:pt>
                <c:pt idx="146">
                  <c:v>29600</c:v>
                </c:pt>
                <c:pt idx="147">
                  <c:v>29700</c:v>
                </c:pt>
                <c:pt idx="148">
                  <c:v>29800</c:v>
                </c:pt>
                <c:pt idx="149">
                  <c:v>29900</c:v>
                </c:pt>
                <c:pt idx="150">
                  <c:v>30000</c:v>
                </c:pt>
                <c:pt idx="151">
                  <c:v>30100</c:v>
                </c:pt>
                <c:pt idx="152">
                  <c:v>30200</c:v>
                </c:pt>
                <c:pt idx="153">
                  <c:v>30300</c:v>
                </c:pt>
                <c:pt idx="154">
                  <c:v>30400</c:v>
                </c:pt>
                <c:pt idx="155">
                  <c:v>30500</c:v>
                </c:pt>
                <c:pt idx="156">
                  <c:v>30600</c:v>
                </c:pt>
                <c:pt idx="157">
                  <c:v>30700</c:v>
                </c:pt>
                <c:pt idx="158">
                  <c:v>30800</c:v>
                </c:pt>
                <c:pt idx="159">
                  <c:v>30900</c:v>
                </c:pt>
                <c:pt idx="160">
                  <c:v>31000</c:v>
                </c:pt>
                <c:pt idx="161">
                  <c:v>31100</c:v>
                </c:pt>
                <c:pt idx="162">
                  <c:v>31200</c:v>
                </c:pt>
                <c:pt idx="163">
                  <c:v>31300</c:v>
                </c:pt>
                <c:pt idx="164">
                  <c:v>31400</c:v>
                </c:pt>
                <c:pt idx="165">
                  <c:v>31500</c:v>
                </c:pt>
                <c:pt idx="166">
                  <c:v>31600</c:v>
                </c:pt>
                <c:pt idx="167">
                  <c:v>31700</c:v>
                </c:pt>
                <c:pt idx="168">
                  <c:v>31800</c:v>
                </c:pt>
                <c:pt idx="169">
                  <c:v>31900</c:v>
                </c:pt>
                <c:pt idx="170">
                  <c:v>32000</c:v>
                </c:pt>
                <c:pt idx="171">
                  <c:v>32100</c:v>
                </c:pt>
                <c:pt idx="172">
                  <c:v>32200</c:v>
                </c:pt>
                <c:pt idx="173">
                  <c:v>32300</c:v>
                </c:pt>
                <c:pt idx="174">
                  <c:v>32400</c:v>
                </c:pt>
                <c:pt idx="175">
                  <c:v>32500</c:v>
                </c:pt>
                <c:pt idx="176">
                  <c:v>32600</c:v>
                </c:pt>
                <c:pt idx="177">
                  <c:v>32700</c:v>
                </c:pt>
                <c:pt idx="178">
                  <c:v>32800</c:v>
                </c:pt>
                <c:pt idx="179">
                  <c:v>32900</c:v>
                </c:pt>
                <c:pt idx="180">
                  <c:v>33000</c:v>
                </c:pt>
                <c:pt idx="181">
                  <c:v>33100</c:v>
                </c:pt>
                <c:pt idx="182">
                  <c:v>33200</c:v>
                </c:pt>
                <c:pt idx="183">
                  <c:v>33300</c:v>
                </c:pt>
                <c:pt idx="184">
                  <c:v>33400</c:v>
                </c:pt>
                <c:pt idx="185">
                  <c:v>33500</c:v>
                </c:pt>
                <c:pt idx="186">
                  <c:v>33600</c:v>
                </c:pt>
                <c:pt idx="187">
                  <c:v>33700</c:v>
                </c:pt>
                <c:pt idx="188">
                  <c:v>33800</c:v>
                </c:pt>
                <c:pt idx="189">
                  <c:v>33900</c:v>
                </c:pt>
                <c:pt idx="190">
                  <c:v>34000</c:v>
                </c:pt>
                <c:pt idx="191">
                  <c:v>34100</c:v>
                </c:pt>
                <c:pt idx="192">
                  <c:v>34200</c:v>
                </c:pt>
                <c:pt idx="193">
                  <c:v>34300</c:v>
                </c:pt>
                <c:pt idx="194">
                  <c:v>34400</c:v>
                </c:pt>
                <c:pt idx="195">
                  <c:v>34500</c:v>
                </c:pt>
                <c:pt idx="196">
                  <c:v>34600</c:v>
                </c:pt>
                <c:pt idx="197">
                  <c:v>34700</c:v>
                </c:pt>
                <c:pt idx="198">
                  <c:v>34800</c:v>
                </c:pt>
                <c:pt idx="199">
                  <c:v>34900</c:v>
                </c:pt>
                <c:pt idx="200">
                  <c:v>35000</c:v>
                </c:pt>
                <c:pt idx="201">
                  <c:v>35100</c:v>
                </c:pt>
                <c:pt idx="202">
                  <c:v>35200</c:v>
                </c:pt>
                <c:pt idx="203">
                  <c:v>35300</c:v>
                </c:pt>
                <c:pt idx="204">
                  <c:v>35400</c:v>
                </c:pt>
                <c:pt idx="205">
                  <c:v>35500</c:v>
                </c:pt>
                <c:pt idx="206">
                  <c:v>35600</c:v>
                </c:pt>
                <c:pt idx="207">
                  <c:v>35700</c:v>
                </c:pt>
                <c:pt idx="208">
                  <c:v>35800</c:v>
                </c:pt>
                <c:pt idx="209">
                  <c:v>35900</c:v>
                </c:pt>
                <c:pt idx="210">
                  <c:v>36000</c:v>
                </c:pt>
                <c:pt idx="211">
                  <c:v>36100</c:v>
                </c:pt>
                <c:pt idx="212">
                  <c:v>36200</c:v>
                </c:pt>
                <c:pt idx="213">
                  <c:v>36300</c:v>
                </c:pt>
                <c:pt idx="214">
                  <c:v>36400</c:v>
                </c:pt>
                <c:pt idx="215">
                  <c:v>36500</c:v>
                </c:pt>
                <c:pt idx="216">
                  <c:v>36600</c:v>
                </c:pt>
                <c:pt idx="217">
                  <c:v>36700</c:v>
                </c:pt>
                <c:pt idx="218">
                  <c:v>36800</c:v>
                </c:pt>
                <c:pt idx="219">
                  <c:v>36900</c:v>
                </c:pt>
                <c:pt idx="220">
                  <c:v>37000</c:v>
                </c:pt>
                <c:pt idx="221">
                  <c:v>37100</c:v>
                </c:pt>
                <c:pt idx="222">
                  <c:v>37200</c:v>
                </c:pt>
                <c:pt idx="223">
                  <c:v>37300</c:v>
                </c:pt>
                <c:pt idx="224">
                  <c:v>37400</c:v>
                </c:pt>
                <c:pt idx="225">
                  <c:v>37500</c:v>
                </c:pt>
                <c:pt idx="226">
                  <c:v>37600</c:v>
                </c:pt>
                <c:pt idx="227">
                  <c:v>37700</c:v>
                </c:pt>
                <c:pt idx="228">
                  <c:v>37800</c:v>
                </c:pt>
                <c:pt idx="229">
                  <c:v>37900</c:v>
                </c:pt>
                <c:pt idx="230">
                  <c:v>38000</c:v>
                </c:pt>
                <c:pt idx="231">
                  <c:v>38100</c:v>
                </c:pt>
                <c:pt idx="232">
                  <c:v>38200</c:v>
                </c:pt>
                <c:pt idx="233">
                  <c:v>38300</c:v>
                </c:pt>
                <c:pt idx="234">
                  <c:v>38400</c:v>
                </c:pt>
                <c:pt idx="235">
                  <c:v>38500</c:v>
                </c:pt>
                <c:pt idx="236">
                  <c:v>38600</c:v>
                </c:pt>
                <c:pt idx="237">
                  <c:v>38700</c:v>
                </c:pt>
                <c:pt idx="238">
                  <c:v>38800</c:v>
                </c:pt>
                <c:pt idx="239">
                  <c:v>38900</c:v>
                </c:pt>
                <c:pt idx="240">
                  <c:v>39000</c:v>
                </c:pt>
                <c:pt idx="241">
                  <c:v>39100</c:v>
                </c:pt>
                <c:pt idx="242">
                  <c:v>39200</c:v>
                </c:pt>
                <c:pt idx="243">
                  <c:v>39300</c:v>
                </c:pt>
                <c:pt idx="244">
                  <c:v>39400</c:v>
                </c:pt>
                <c:pt idx="245">
                  <c:v>39500</c:v>
                </c:pt>
                <c:pt idx="246">
                  <c:v>39600</c:v>
                </c:pt>
                <c:pt idx="247">
                  <c:v>39700</c:v>
                </c:pt>
                <c:pt idx="248">
                  <c:v>39800</c:v>
                </c:pt>
                <c:pt idx="249">
                  <c:v>39900</c:v>
                </c:pt>
                <c:pt idx="250">
                  <c:v>40000</c:v>
                </c:pt>
                <c:pt idx="251">
                  <c:v>40100</c:v>
                </c:pt>
                <c:pt idx="252">
                  <c:v>40200</c:v>
                </c:pt>
                <c:pt idx="253">
                  <c:v>40300</c:v>
                </c:pt>
                <c:pt idx="254">
                  <c:v>40400</c:v>
                </c:pt>
                <c:pt idx="255">
                  <c:v>40500</c:v>
                </c:pt>
                <c:pt idx="256">
                  <c:v>40600</c:v>
                </c:pt>
                <c:pt idx="257">
                  <c:v>40700</c:v>
                </c:pt>
                <c:pt idx="258">
                  <c:v>40800</c:v>
                </c:pt>
                <c:pt idx="259">
                  <c:v>40900</c:v>
                </c:pt>
                <c:pt idx="260">
                  <c:v>41000</c:v>
                </c:pt>
                <c:pt idx="261">
                  <c:v>41100</c:v>
                </c:pt>
                <c:pt idx="262">
                  <c:v>41200</c:v>
                </c:pt>
                <c:pt idx="263">
                  <c:v>41300</c:v>
                </c:pt>
                <c:pt idx="264">
                  <c:v>41400</c:v>
                </c:pt>
                <c:pt idx="265">
                  <c:v>41500</c:v>
                </c:pt>
                <c:pt idx="266">
                  <c:v>41600</c:v>
                </c:pt>
                <c:pt idx="267">
                  <c:v>41700</c:v>
                </c:pt>
                <c:pt idx="268">
                  <c:v>41800</c:v>
                </c:pt>
                <c:pt idx="269">
                  <c:v>41900</c:v>
                </c:pt>
                <c:pt idx="270">
                  <c:v>42000</c:v>
                </c:pt>
                <c:pt idx="271">
                  <c:v>42100</c:v>
                </c:pt>
                <c:pt idx="272">
                  <c:v>42200</c:v>
                </c:pt>
                <c:pt idx="273">
                  <c:v>42300</c:v>
                </c:pt>
              </c:numCache>
            </c:numRef>
          </c:xVal>
          <c:yVal>
            <c:numRef>
              <c:f>'NW Limits'!$G$3:$G$276</c:f>
              <c:numCache>
                <c:formatCode>General</c:formatCode>
                <c:ptCount val="2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 formatCode="0.00%">
                  <c:v>0.13400000000000001</c:v>
                </c:pt>
                <c:pt idx="61" formatCode="0.00%">
                  <c:v>0.13600000000000001</c:v>
                </c:pt>
                <c:pt idx="62" formatCode="0.00%">
                  <c:v>0.13800000000000001</c:v>
                </c:pt>
                <c:pt idx="63" formatCode="0.00%">
                  <c:v>0.14000000000000001</c:v>
                </c:pt>
                <c:pt idx="64" formatCode="0.00%">
                  <c:v>0.14099999999999999</c:v>
                </c:pt>
                <c:pt idx="65" formatCode="0.00%">
                  <c:v>0.14299999999999999</c:v>
                </c:pt>
                <c:pt idx="66" formatCode="0.00%">
                  <c:v>0.14499999999999999</c:v>
                </c:pt>
                <c:pt idx="67" formatCode="0.00%">
                  <c:v>0.14699999999999999</c:v>
                </c:pt>
                <c:pt idx="68" formatCode="0.00%">
                  <c:v>0.14799999999999999</c:v>
                </c:pt>
                <c:pt idx="69" formatCode="0.00%">
                  <c:v>0.15</c:v>
                </c:pt>
                <c:pt idx="70" formatCode="0.00%">
                  <c:v>0.152</c:v>
                </c:pt>
                <c:pt idx="71" formatCode="0.00%">
                  <c:v>0.153</c:v>
                </c:pt>
                <c:pt idx="72" formatCode="0.00%">
                  <c:v>0.155</c:v>
                </c:pt>
                <c:pt idx="73" formatCode="0.00%">
                  <c:v>0.157</c:v>
                </c:pt>
                <c:pt idx="74" formatCode="0.00%">
                  <c:v>0.158</c:v>
                </c:pt>
                <c:pt idx="75" formatCode="0.00%">
                  <c:v>0.16</c:v>
                </c:pt>
                <c:pt idx="76" formatCode="0.00%">
                  <c:v>0.161</c:v>
                </c:pt>
                <c:pt idx="77" formatCode="0.00%">
                  <c:v>0.16300000000000001</c:v>
                </c:pt>
                <c:pt idx="78" formatCode="0.00%">
                  <c:v>0.16400000000000001</c:v>
                </c:pt>
                <c:pt idx="79" formatCode="0.00%">
                  <c:v>0.16600000000000001</c:v>
                </c:pt>
                <c:pt idx="80" formatCode="0.00%">
                  <c:v>0.16700000000000001</c:v>
                </c:pt>
                <c:pt idx="81" formatCode="0.00%">
                  <c:v>0.16900000000000001</c:v>
                </c:pt>
                <c:pt idx="82" formatCode="0.00%">
                  <c:v>0.17</c:v>
                </c:pt>
                <c:pt idx="83" formatCode="0.00%">
                  <c:v>0.17199999999999999</c:v>
                </c:pt>
                <c:pt idx="84" formatCode="0.00%">
                  <c:v>0.17299999999999999</c:v>
                </c:pt>
                <c:pt idx="85" formatCode="0.00%">
                  <c:v>0.17499999999999999</c:v>
                </c:pt>
                <c:pt idx="86" formatCode="0.00%">
                  <c:v>0.17599999999999999</c:v>
                </c:pt>
                <c:pt idx="87" formatCode="0.00%">
                  <c:v>0.17799999999999999</c:v>
                </c:pt>
                <c:pt idx="88" formatCode="0.00%">
                  <c:v>0.17899999999999999</c:v>
                </c:pt>
                <c:pt idx="89" formatCode="0.00%">
                  <c:v>0.18099999999999999</c:v>
                </c:pt>
                <c:pt idx="90" formatCode="0.00%">
                  <c:v>0.182</c:v>
                </c:pt>
                <c:pt idx="91" formatCode="0.00%">
                  <c:v>0.183</c:v>
                </c:pt>
                <c:pt idx="92" formatCode="0.00%">
                  <c:v>0.185</c:v>
                </c:pt>
                <c:pt idx="93" formatCode="0.00%">
                  <c:v>0.186</c:v>
                </c:pt>
                <c:pt idx="94" formatCode="0.00%">
                  <c:v>0.187</c:v>
                </c:pt>
                <c:pt idx="95" formatCode="0.00%">
                  <c:v>0.189</c:v>
                </c:pt>
                <c:pt idx="96" formatCode="0.00%">
                  <c:v>0.19</c:v>
                </c:pt>
                <c:pt idx="97" formatCode="0.00%">
                  <c:v>0.191</c:v>
                </c:pt>
                <c:pt idx="98" formatCode="0.00%">
                  <c:v>0.193</c:v>
                </c:pt>
                <c:pt idx="99" formatCode="0.00%">
                  <c:v>0.19400000000000001</c:v>
                </c:pt>
                <c:pt idx="100" formatCode="0.00%">
                  <c:v>0.19500000000000001</c:v>
                </c:pt>
                <c:pt idx="101" formatCode="0.00%">
                  <c:v>0.19700000000000001</c:v>
                </c:pt>
                <c:pt idx="102" formatCode="0.00%">
                  <c:v>0.19800000000000001</c:v>
                </c:pt>
                <c:pt idx="103" formatCode="0.00%">
                  <c:v>0.19900000000000001</c:v>
                </c:pt>
                <c:pt idx="104" formatCode="0.00%">
                  <c:v>0.2</c:v>
                </c:pt>
                <c:pt idx="105" formatCode="0.00%">
                  <c:v>0.20200000000000001</c:v>
                </c:pt>
                <c:pt idx="106" formatCode="0.00%">
                  <c:v>0.20300000000000001</c:v>
                </c:pt>
                <c:pt idx="107" formatCode="0.00%">
                  <c:v>0.20399999999999999</c:v>
                </c:pt>
                <c:pt idx="108" formatCode="0.00%">
                  <c:v>0.20499999999999999</c:v>
                </c:pt>
                <c:pt idx="109" formatCode="0.00%">
                  <c:v>0.20599999999999999</c:v>
                </c:pt>
                <c:pt idx="110" formatCode="0.00%">
                  <c:v>0.20799999999999999</c:v>
                </c:pt>
                <c:pt idx="111" formatCode="0.00%">
                  <c:v>0.20899999999999999</c:v>
                </c:pt>
                <c:pt idx="112" formatCode="0.00%">
                  <c:v>0.21</c:v>
                </c:pt>
                <c:pt idx="113" formatCode="0.00%">
                  <c:v>0.21099999999999999</c:v>
                </c:pt>
                <c:pt idx="114" formatCode="0.00%">
                  <c:v>0.21199999999999999</c:v>
                </c:pt>
                <c:pt idx="115" formatCode="0.00%">
                  <c:v>0.21299999999999999</c:v>
                </c:pt>
                <c:pt idx="116" formatCode="0.00%">
                  <c:v>0.215</c:v>
                </c:pt>
                <c:pt idx="117" formatCode="0.00%">
                  <c:v>0.216</c:v>
                </c:pt>
                <c:pt idx="118" formatCode="0.00%">
                  <c:v>0.217</c:v>
                </c:pt>
                <c:pt idx="119" formatCode="0.00%">
                  <c:v>0.218</c:v>
                </c:pt>
                <c:pt idx="120" formatCode="0.00%">
                  <c:v>0.219</c:v>
                </c:pt>
                <c:pt idx="121" formatCode="0.00%">
                  <c:v>0.22</c:v>
                </c:pt>
                <c:pt idx="122" formatCode="0.00%">
                  <c:v>0.221</c:v>
                </c:pt>
                <c:pt idx="123" formatCode="0.00%">
                  <c:v>0.222</c:v>
                </c:pt>
                <c:pt idx="124" formatCode="0.00%">
                  <c:v>0.223</c:v>
                </c:pt>
                <c:pt idx="125" formatCode="0.00%">
                  <c:v>0.224</c:v>
                </c:pt>
                <c:pt idx="126" formatCode="0.00%">
                  <c:v>0.22500000000000001</c:v>
                </c:pt>
                <c:pt idx="127" formatCode="0.00%">
                  <c:v>0.22700000000000001</c:v>
                </c:pt>
                <c:pt idx="128" formatCode="0.00%">
                  <c:v>0.22800000000000001</c:v>
                </c:pt>
                <c:pt idx="129" formatCode="0.00%">
                  <c:v>0.22900000000000001</c:v>
                </c:pt>
                <c:pt idx="130" formatCode="0.00%">
                  <c:v>0.23</c:v>
                </c:pt>
                <c:pt idx="131" formatCode="0.00%">
                  <c:v>0.23100000000000001</c:v>
                </c:pt>
                <c:pt idx="132" formatCode="0.00%">
                  <c:v>0.23200000000000001</c:v>
                </c:pt>
                <c:pt idx="133" formatCode="0.00%">
                  <c:v>0.23300000000000001</c:v>
                </c:pt>
                <c:pt idx="134" formatCode="0.00%">
                  <c:v>0.23400000000000001</c:v>
                </c:pt>
                <c:pt idx="135" formatCode="0.00%">
                  <c:v>0.23499999999999999</c:v>
                </c:pt>
                <c:pt idx="136" formatCode="0.00%">
                  <c:v>0.23599999999999999</c:v>
                </c:pt>
                <c:pt idx="137" formatCode="0.00%">
                  <c:v>0.23699999999999999</c:v>
                </c:pt>
                <c:pt idx="138" formatCode="0.00%">
                  <c:v>0.23799999999999999</c:v>
                </c:pt>
                <c:pt idx="139" formatCode="0.00%">
                  <c:v>0.23899999999999999</c:v>
                </c:pt>
                <c:pt idx="140" formatCode="0.00%">
                  <c:v>0.23899999999999999</c:v>
                </c:pt>
                <c:pt idx="141" formatCode="0.00%">
                  <c:v>0.24</c:v>
                </c:pt>
                <c:pt idx="142" formatCode="0.00%">
                  <c:v>0.24099999999999999</c:v>
                </c:pt>
                <c:pt idx="143" formatCode="0.00%">
                  <c:v>0.24199999999999999</c:v>
                </c:pt>
                <c:pt idx="144" formatCode="0.00%">
                  <c:v>0.24299999999999999</c:v>
                </c:pt>
                <c:pt idx="145" formatCode="0.00%">
                  <c:v>0.24399999999999999</c:v>
                </c:pt>
                <c:pt idx="146" formatCode="0.00%">
                  <c:v>0.245</c:v>
                </c:pt>
                <c:pt idx="147" formatCode="0.00%">
                  <c:v>0.246</c:v>
                </c:pt>
                <c:pt idx="148" formatCode="0.00%">
                  <c:v>0.247</c:v>
                </c:pt>
                <c:pt idx="149" formatCode="0.00%">
                  <c:v>0.248</c:v>
                </c:pt>
                <c:pt idx="150" formatCode="0.00%">
                  <c:v>0.249</c:v>
                </c:pt>
                <c:pt idx="151" formatCode="0.00%">
                  <c:v>0.25</c:v>
                </c:pt>
                <c:pt idx="152" formatCode="0.00%">
                  <c:v>0.25</c:v>
                </c:pt>
                <c:pt idx="153" formatCode="0.00%">
                  <c:v>0.251</c:v>
                </c:pt>
                <c:pt idx="154" formatCode="0.00%">
                  <c:v>0.252</c:v>
                </c:pt>
                <c:pt idx="155" formatCode="0.00%">
                  <c:v>0.253</c:v>
                </c:pt>
                <c:pt idx="156" formatCode="0.00%">
                  <c:v>0.254</c:v>
                </c:pt>
                <c:pt idx="157" formatCode="0.00%">
                  <c:v>0.255</c:v>
                </c:pt>
                <c:pt idx="158" formatCode="0.00%">
                  <c:v>0.25600000000000001</c:v>
                </c:pt>
                <c:pt idx="159" formatCode="0.00%">
                  <c:v>0.25600000000000001</c:v>
                </c:pt>
                <c:pt idx="160" formatCode="0.00%">
                  <c:v>0.25700000000000001</c:v>
                </c:pt>
                <c:pt idx="161" formatCode="0.00%">
                  <c:v>0.25800000000000001</c:v>
                </c:pt>
                <c:pt idx="162" formatCode="0.00%">
                  <c:v>0.25900000000000001</c:v>
                </c:pt>
                <c:pt idx="163" formatCode="0.00%">
                  <c:v>0.26</c:v>
                </c:pt>
                <c:pt idx="164" formatCode="0.00%">
                  <c:v>0.26100000000000001</c:v>
                </c:pt>
                <c:pt idx="165" formatCode="0.00%">
                  <c:v>0.26100000000000001</c:v>
                </c:pt>
                <c:pt idx="166" formatCode="0.00%">
                  <c:v>0.26200000000000001</c:v>
                </c:pt>
                <c:pt idx="167" formatCode="0.00%">
                  <c:v>0.26300000000000001</c:v>
                </c:pt>
                <c:pt idx="168" formatCode="0.00%">
                  <c:v>0.26400000000000001</c:v>
                </c:pt>
                <c:pt idx="169" formatCode="0.00%">
                  <c:v>0.26500000000000001</c:v>
                </c:pt>
                <c:pt idx="170" formatCode="0.00%">
                  <c:v>0.26500000000000001</c:v>
                </c:pt>
                <c:pt idx="171" formatCode="0.00%">
                  <c:v>0.25600000000000001</c:v>
                </c:pt>
                <c:pt idx="172" formatCode="0.00%">
                  <c:v>0.26700000000000002</c:v>
                </c:pt>
                <c:pt idx="173" formatCode="0.00%">
                  <c:v>0.26800000000000002</c:v>
                </c:pt>
                <c:pt idx="174" formatCode="0.00%">
                  <c:v>0.26800000000000002</c:v>
                </c:pt>
                <c:pt idx="175" formatCode="0.00%">
                  <c:v>0.26900000000000002</c:v>
                </c:pt>
                <c:pt idx="176" formatCode="0.00%">
                  <c:v>0.27</c:v>
                </c:pt>
                <c:pt idx="177" formatCode="0.00%">
                  <c:v>0.27100000000000002</c:v>
                </c:pt>
                <c:pt idx="178" formatCode="0.00%">
                  <c:v>0.27100000000000002</c:v>
                </c:pt>
                <c:pt idx="179" formatCode="0.00%">
                  <c:v>0.27200000000000002</c:v>
                </c:pt>
                <c:pt idx="180" formatCode="0.00%">
                  <c:v>0.27300000000000002</c:v>
                </c:pt>
                <c:pt idx="181" formatCode="0.00%">
                  <c:v>0.27400000000000002</c:v>
                </c:pt>
                <c:pt idx="182" formatCode="0.00%">
                  <c:v>0.27400000000000002</c:v>
                </c:pt>
                <c:pt idx="183" formatCode="0.00%">
                  <c:v>0.27500000000000002</c:v>
                </c:pt>
                <c:pt idx="184" formatCode="0.00%">
                  <c:v>0.27600000000000002</c:v>
                </c:pt>
                <c:pt idx="185" formatCode="0.00%">
                  <c:v>0.27700000000000002</c:v>
                </c:pt>
                <c:pt idx="186" formatCode="0.00%">
                  <c:v>0.27700000000000002</c:v>
                </c:pt>
                <c:pt idx="187" formatCode="0.00%">
                  <c:v>0.27800000000000002</c:v>
                </c:pt>
                <c:pt idx="188" formatCode="0.00%">
                  <c:v>0.27900000000000003</c:v>
                </c:pt>
                <c:pt idx="189" formatCode="0.00%">
                  <c:v>0.27900000000000003</c:v>
                </c:pt>
                <c:pt idx="190" formatCode="0.00%">
                  <c:v>0.28000000000000003</c:v>
                </c:pt>
                <c:pt idx="191" formatCode="0.00%">
                  <c:v>0.28100000000000003</c:v>
                </c:pt>
                <c:pt idx="192" formatCode="0.00%">
                  <c:v>0.28100000000000003</c:v>
                </c:pt>
                <c:pt idx="193" formatCode="0.00%">
                  <c:v>0.28199999999999997</c:v>
                </c:pt>
                <c:pt idx="194" formatCode="0.00%">
                  <c:v>0.28299999999999997</c:v>
                </c:pt>
                <c:pt idx="195" formatCode="0.00%">
                  <c:v>0.28299999999999997</c:v>
                </c:pt>
                <c:pt idx="196" formatCode="0.00%">
                  <c:v>0.28399999999999997</c:v>
                </c:pt>
                <c:pt idx="197" formatCode="0.00%">
                  <c:v>0.28499999999999998</c:v>
                </c:pt>
                <c:pt idx="198" formatCode="0.00%">
                  <c:v>0.28499999999999998</c:v>
                </c:pt>
                <c:pt idx="199" formatCode="0.00%">
                  <c:v>0.28599999999999998</c:v>
                </c:pt>
                <c:pt idx="200" formatCode="0.00%">
                  <c:v>0.28699999999999998</c:v>
                </c:pt>
                <c:pt idx="201" formatCode="0.00%">
                  <c:v>0.28699999999999998</c:v>
                </c:pt>
                <c:pt idx="202" formatCode="0.00%">
                  <c:v>0.28799999999999998</c:v>
                </c:pt>
                <c:pt idx="203" formatCode="0.00%">
                  <c:v>0.28899999999999998</c:v>
                </c:pt>
                <c:pt idx="204" formatCode="0.00%">
                  <c:v>0.28899999999999998</c:v>
                </c:pt>
                <c:pt idx="205" formatCode="0.00%">
                  <c:v>0.28999999999999998</c:v>
                </c:pt>
                <c:pt idx="206" formatCode="0.00%">
                  <c:v>0.29099999999999998</c:v>
                </c:pt>
                <c:pt idx="207" formatCode="0.00%">
                  <c:v>0.29099999999999998</c:v>
                </c:pt>
                <c:pt idx="208" formatCode="0.00%">
                  <c:v>0.29199999999999998</c:v>
                </c:pt>
                <c:pt idx="209" formatCode="0.00%">
                  <c:v>0.29199999999999998</c:v>
                </c:pt>
                <c:pt idx="210" formatCode="0.00%">
                  <c:v>0.29299999999999998</c:v>
                </c:pt>
                <c:pt idx="211" formatCode="0.00%">
                  <c:v>0.29399999999999998</c:v>
                </c:pt>
                <c:pt idx="212" formatCode="0.00%">
                  <c:v>0.29399999999999998</c:v>
                </c:pt>
                <c:pt idx="213" formatCode="0.00%">
                  <c:v>0.29499999999999998</c:v>
                </c:pt>
                <c:pt idx="214" formatCode="0.00%">
                  <c:v>0.29599999999999999</c:v>
                </c:pt>
                <c:pt idx="215" formatCode="0.00%">
                  <c:v>0.29599999999999999</c:v>
                </c:pt>
                <c:pt idx="216" formatCode="0.00%">
                  <c:v>0.29699999999999999</c:v>
                </c:pt>
                <c:pt idx="217" formatCode="0.00%">
                  <c:v>0.29699999999999999</c:v>
                </c:pt>
                <c:pt idx="218" formatCode="0.00%">
                  <c:v>0.29799999999999999</c:v>
                </c:pt>
                <c:pt idx="219" formatCode="0.00%">
                  <c:v>0.29899999999999999</c:v>
                </c:pt>
                <c:pt idx="220" formatCode="0.00%">
                  <c:v>0.29899999999999999</c:v>
                </c:pt>
                <c:pt idx="221" formatCode="0.00%">
                  <c:v>0.3</c:v>
                </c:pt>
                <c:pt idx="222" formatCode="0.00%">
                  <c:v>0.3</c:v>
                </c:pt>
                <c:pt idx="223" formatCode="0.00%">
                  <c:v>0.30099999999999999</c:v>
                </c:pt>
                <c:pt idx="224" formatCode="0.00%">
                  <c:v>0.30099999999999999</c:v>
                </c:pt>
                <c:pt idx="225" formatCode="0.00%">
                  <c:v>0.30199999999999999</c:v>
                </c:pt>
                <c:pt idx="226" formatCode="0.00%">
                  <c:v>0.30299999999999999</c:v>
                </c:pt>
                <c:pt idx="227" formatCode="0.00%">
                  <c:v>0.30299999999999999</c:v>
                </c:pt>
                <c:pt idx="228" formatCode="0.00%">
                  <c:v>0.30399999999999999</c:v>
                </c:pt>
                <c:pt idx="229" formatCode="0.00%">
                  <c:v>0.30499999999999999</c:v>
                </c:pt>
                <c:pt idx="230" formatCode="0.00%">
                  <c:v>0.30599999999999999</c:v>
                </c:pt>
                <c:pt idx="231" formatCode="0.00%">
                  <c:v>0.30599999999999999</c:v>
                </c:pt>
                <c:pt idx="232" formatCode="0.00%">
                  <c:v>0.307</c:v>
                </c:pt>
                <c:pt idx="233" formatCode="0.00%">
                  <c:v>0.308</c:v>
                </c:pt>
                <c:pt idx="234" formatCode="0.00%">
                  <c:v>0.308</c:v>
                </c:pt>
                <c:pt idx="235" formatCode="0.00%">
                  <c:v>0.309</c:v>
                </c:pt>
                <c:pt idx="236" formatCode="0.00%">
                  <c:v>0.31</c:v>
                </c:pt>
                <c:pt idx="237" formatCode="0.00%">
                  <c:v>0.31</c:v>
                </c:pt>
                <c:pt idx="238" formatCode="0.00%">
                  <c:v>0.311</c:v>
                </c:pt>
                <c:pt idx="239" formatCode="0.00%">
                  <c:v>0.312</c:v>
                </c:pt>
                <c:pt idx="240" formatCode="0.00%">
                  <c:v>0.312</c:v>
                </c:pt>
                <c:pt idx="241" formatCode="0.00%">
                  <c:v>0.313</c:v>
                </c:pt>
                <c:pt idx="242" formatCode="0.00%">
                  <c:v>0.314</c:v>
                </c:pt>
                <c:pt idx="243" formatCode="0.00%">
                  <c:v>0.315</c:v>
                </c:pt>
                <c:pt idx="244" formatCode="0.00%">
                  <c:v>0.315</c:v>
                </c:pt>
                <c:pt idx="245" formatCode="0.00%">
                  <c:v>0.316</c:v>
                </c:pt>
                <c:pt idx="246" formatCode="0.00%">
                  <c:v>0.317</c:v>
                </c:pt>
                <c:pt idx="247" formatCode="0.00%">
                  <c:v>0.317</c:v>
                </c:pt>
                <c:pt idx="248" formatCode="0.00%">
                  <c:v>0.318</c:v>
                </c:pt>
                <c:pt idx="249" formatCode="0.00%">
                  <c:v>0.31900000000000001</c:v>
                </c:pt>
                <c:pt idx="250" formatCode="0.00%">
                  <c:v>0.31900000000000001</c:v>
                </c:pt>
                <c:pt idx="251" formatCode="0.00%">
                  <c:v>0.32</c:v>
                </c:pt>
                <c:pt idx="252" formatCode="0.00%">
                  <c:v>0.32100000000000001</c:v>
                </c:pt>
                <c:pt idx="253" formatCode="0.00%">
                  <c:v>0.32100000000000001</c:v>
                </c:pt>
                <c:pt idx="254" formatCode="0.00%">
                  <c:v>0.32200000000000001</c:v>
                </c:pt>
                <c:pt idx="255" formatCode="0.00%">
                  <c:v>0.32300000000000001</c:v>
                </c:pt>
                <c:pt idx="256" formatCode="0.00%">
                  <c:v>0.32300000000000001</c:v>
                </c:pt>
                <c:pt idx="257" formatCode="0.00%">
                  <c:v>0.32400000000000001</c:v>
                </c:pt>
                <c:pt idx="258" formatCode="0.00%">
                  <c:v>0.32500000000000001</c:v>
                </c:pt>
                <c:pt idx="259" formatCode="0.00%">
                  <c:v>0.32500000000000001</c:v>
                </c:pt>
                <c:pt idx="260" formatCode="0.00%">
                  <c:v>0.32600000000000001</c:v>
                </c:pt>
                <c:pt idx="261" formatCode="0.00%">
                  <c:v>0.32700000000000001</c:v>
                </c:pt>
                <c:pt idx="262" formatCode="0.00%">
                  <c:v>0.32700000000000001</c:v>
                </c:pt>
                <c:pt idx="263" formatCode="0.00%">
                  <c:v>0.32800000000000001</c:v>
                </c:pt>
                <c:pt idx="264" formatCode="0.00%">
                  <c:v>0.32800000000000001</c:v>
                </c:pt>
                <c:pt idx="265" formatCode="0.00%">
                  <c:v>0.32900000000000001</c:v>
                </c:pt>
                <c:pt idx="266" formatCode="0.00%">
                  <c:v>0.33</c:v>
                </c:pt>
                <c:pt idx="267" formatCode="0.00%">
                  <c:v>0.33</c:v>
                </c:pt>
                <c:pt idx="268" formatCode="0.00%">
                  <c:v>0.33100000000000002</c:v>
                </c:pt>
                <c:pt idx="269" formatCode="0.00%">
                  <c:v>0.33200000000000002</c:v>
                </c:pt>
                <c:pt idx="270" formatCode="0.00%">
                  <c:v>0.33200000000000002</c:v>
                </c:pt>
                <c:pt idx="271" formatCode="0.00%">
                  <c:v>0.33300000000000002</c:v>
                </c:pt>
                <c:pt idx="272" formatCode="0.00%">
                  <c:v>0.33300000000000002</c:v>
                </c:pt>
                <c:pt idx="273" formatCode="0.00%">
                  <c:v>0.33400000000000002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'NW Limits'!$H$2</c:f>
              <c:strCache>
                <c:ptCount val="1"/>
                <c:pt idx="0">
                  <c:v>Aft %MAC</c:v>
                </c:pt>
              </c:strCache>
            </c:strRef>
          </c:tx>
          <c:marker>
            <c:symbol val="none"/>
          </c:marker>
          <c:xVal>
            <c:numRef>
              <c:f>'NW Limits'!$F$3:$F$276</c:f>
              <c:numCache>
                <c:formatCode>#,##0</c:formatCode>
                <c:ptCount val="274"/>
                <c:pt idx="0">
                  <c:v>15000</c:v>
                </c:pt>
                <c:pt idx="1">
                  <c:v>15100</c:v>
                </c:pt>
                <c:pt idx="2">
                  <c:v>15200</c:v>
                </c:pt>
                <c:pt idx="3">
                  <c:v>15300</c:v>
                </c:pt>
                <c:pt idx="4">
                  <c:v>15400</c:v>
                </c:pt>
                <c:pt idx="5">
                  <c:v>15500</c:v>
                </c:pt>
                <c:pt idx="6">
                  <c:v>15600</c:v>
                </c:pt>
                <c:pt idx="7">
                  <c:v>15700</c:v>
                </c:pt>
                <c:pt idx="8">
                  <c:v>15800</c:v>
                </c:pt>
                <c:pt idx="9">
                  <c:v>15900</c:v>
                </c:pt>
                <c:pt idx="10">
                  <c:v>16000</c:v>
                </c:pt>
                <c:pt idx="11">
                  <c:v>16100</c:v>
                </c:pt>
                <c:pt idx="12">
                  <c:v>16200</c:v>
                </c:pt>
                <c:pt idx="13">
                  <c:v>16300</c:v>
                </c:pt>
                <c:pt idx="14">
                  <c:v>16400</c:v>
                </c:pt>
                <c:pt idx="15">
                  <c:v>16500</c:v>
                </c:pt>
                <c:pt idx="16">
                  <c:v>16600</c:v>
                </c:pt>
                <c:pt idx="17">
                  <c:v>16700</c:v>
                </c:pt>
                <c:pt idx="18">
                  <c:v>16800</c:v>
                </c:pt>
                <c:pt idx="19">
                  <c:v>16900</c:v>
                </c:pt>
                <c:pt idx="20">
                  <c:v>17000</c:v>
                </c:pt>
                <c:pt idx="21">
                  <c:v>17100</c:v>
                </c:pt>
                <c:pt idx="22">
                  <c:v>17200</c:v>
                </c:pt>
                <c:pt idx="23">
                  <c:v>17300</c:v>
                </c:pt>
                <c:pt idx="24">
                  <c:v>17400</c:v>
                </c:pt>
                <c:pt idx="25">
                  <c:v>17500</c:v>
                </c:pt>
                <c:pt idx="26">
                  <c:v>17600</c:v>
                </c:pt>
                <c:pt idx="27">
                  <c:v>17700</c:v>
                </c:pt>
                <c:pt idx="28">
                  <c:v>17800</c:v>
                </c:pt>
                <c:pt idx="29">
                  <c:v>17900</c:v>
                </c:pt>
                <c:pt idx="30">
                  <c:v>18000</c:v>
                </c:pt>
                <c:pt idx="31">
                  <c:v>18100</c:v>
                </c:pt>
                <c:pt idx="32">
                  <c:v>18200</c:v>
                </c:pt>
                <c:pt idx="33">
                  <c:v>18300</c:v>
                </c:pt>
                <c:pt idx="34">
                  <c:v>18400</c:v>
                </c:pt>
                <c:pt idx="35">
                  <c:v>18500</c:v>
                </c:pt>
                <c:pt idx="36">
                  <c:v>18600</c:v>
                </c:pt>
                <c:pt idx="37">
                  <c:v>18700</c:v>
                </c:pt>
                <c:pt idx="38">
                  <c:v>18800</c:v>
                </c:pt>
                <c:pt idx="39">
                  <c:v>18900</c:v>
                </c:pt>
                <c:pt idx="40">
                  <c:v>19000</c:v>
                </c:pt>
                <c:pt idx="41">
                  <c:v>19100</c:v>
                </c:pt>
                <c:pt idx="42">
                  <c:v>19200</c:v>
                </c:pt>
                <c:pt idx="43">
                  <c:v>19300</c:v>
                </c:pt>
                <c:pt idx="44">
                  <c:v>19400</c:v>
                </c:pt>
                <c:pt idx="45">
                  <c:v>19500</c:v>
                </c:pt>
                <c:pt idx="46">
                  <c:v>19600</c:v>
                </c:pt>
                <c:pt idx="47">
                  <c:v>19700</c:v>
                </c:pt>
                <c:pt idx="48">
                  <c:v>19800</c:v>
                </c:pt>
                <c:pt idx="49">
                  <c:v>19900</c:v>
                </c:pt>
                <c:pt idx="50">
                  <c:v>20000</c:v>
                </c:pt>
                <c:pt idx="51">
                  <c:v>20100</c:v>
                </c:pt>
                <c:pt idx="52">
                  <c:v>20200</c:v>
                </c:pt>
                <c:pt idx="53">
                  <c:v>20300</c:v>
                </c:pt>
                <c:pt idx="54">
                  <c:v>20400</c:v>
                </c:pt>
                <c:pt idx="55">
                  <c:v>20500</c:v>
                </c:pt>
                <c:pt idx="56">
                  <c:v>20600</c:v>
                </c:pt>
                <c:pt idx="57">
                  <c:v>20700</c:v>
                </c:pt>
                <c:pt idx="58">
                  <c:v>20800</c:v>
                </c:pt>
                <c:pt idx="59">
                  <c:v>20900</c:v>
                </c:pt>
                <c:pt idx="60">
                  <c:v>21000</c:v>
                </c:pt>
                <c:pt idx="61">
                  <c:v>21100</c:v>
                </c:pt>
                <c:pt idx="62">
                  <c:v>21200</c:v>
                </c:pt>
                <c:pt idx="63">
                  <c:v>21300</c:v>
                </c:pt>
                <c:pt idx="64">
                  <c:v>21400</c:v>
                </c:pt>
                <c:pt idx="65">
                  <c:v>21500</c:v>
                </c:pt>
                <c:pt idx="66">
                  <c:v>21600</c:v>
                </c:pt>
                <c:pt idx="67">
                  <c:v>21700</c:v>
                </c:pt>
                <c:pt idx="68">
                  <c:v>21800</c:v>
                </c:pt>
                <c:pt idx="69">
                  <c:v>21900</c:v>
                </c:pt>
                <c:pt idx="70">
                  <c:v>22000</c:v>
                </c:pt>
                <c:pt idx="71">
                  <c:v>22100</c:v>
                </c:pt>
                <c:pt idx="72">
                  <c:v>22200</c:v>
                </c:pt>
                <c:pt idx="73">
                  <c:v>22300</c:v>
                </c:pt>
                <c:pt idx="74">
                  <c:v>22400</c:v>
                </c:pt>
                <c:pt idx="75">
                  <c:v>22500</c:v>
                </c:pt>
                <c:pt idx="76">
                  <c:v>22600</c:v>
                </c:pt>
                <c:pt idx="77">
                  <c:v>22700</c:v>
                </c:pt>
                <c:pt idx="78">
                  <c:v>22800</c:v>
                </c:pt>
                <c:pt idx="79">
                  <c:v>22900</c:v>
                </c:pt>
                <c:pt idx="80">
                  <c:v>23000</c:v>
                </c:pt>
                <c:pt idx="81">
                  <c:v>23100</c:v>
                </c:pt>
                <c:pt idx="82">
                  <c:v>23200</c:v>
                </c:pt>
                <c:pt idx="83">
                  <c:v>23300</c:v>
                </c:pt>
                <c:pt idx="84">
                  <c:v>23400</c:v>
                </c:pt>
                <c:pt idx="85">
                  <c:v>23500</c:v>
                </c:pt>
                <c:pt idx="86">
                  <c:v>23600</c:v>
                </c:pt>
                <c:pt idx="87">
                  <c:v>23700</c:v>
                </c:pt>
                <c:pt idx="88">
                  <c:v>23800</c:v>
                </c:pt>
                <c:pt idx="89">
                  <c:v>23900</c:v>
                </c:pt>
                <c:pt idx="90">
                  <c:v>24000</c:v>
                </c:pt>
                <c:pt idx="91">
                  <c:v>24100</c:v>
                </c:pt>
                <c:pt idx="92">
                  <c:v>24200</c:v>
                </c:pt>
                <c:pt idx="93">
                  <c:v>24300</c:v>
                </c:pt>
                <c:pt idx="94">
                  <c:v>24400</c:v>
                </c:pt>
                <c:pt idx="95">
                  <c:v>24500</c:v>
                </c:pt>
                <c:pt idx="96">
                  <c:v>24600</c:v>
                </c:pt>
                <c:pt idx="97">
                  <c:v>24700</c:v>
                </c:pt>
                <c:pt idx="98">
                  <c:v>24800</c:v>
                </c:pt>
                <c:pt idx="99">
                  <c:v>24900</c:v>
                </c:pt>
                <c:pt idx="100">
                  <c:v>25000</c:v>
                </c:pt>
                <c:pt idx="101">
                  <c:v>25100</c:v>
                </c:pt>
                <c:pt idx="102">
                  <c:v>25200</c:v>
                </c:pt>
                <c:pt idx="103">
                  <c:v>25300</c:v>
                </c:pt>
                <c:pt idx="104">
                  <c:v>25400</c:v>
                </c:pt>
                <c:pt idx="105">
                  <c:v>25500</c:v>
                </c:pt>
                <c:pt idx="106">
                  <c:v>25600</c:v>
                </c:pt>
                <c:pt idx="107">
                  <c:v>25700</c:v>
                </c:pt>
                <c:pt idx="108">
                  <c:v>25800</c:v>
                </c:pt>
                <c:pt idx="109">
                  <c:v>25900</c:v>
                </c:pt>
                <c:pt idx="110">
                  <c:v>26000</c:v>
                </c:pt>
                <c:pt idx="111">
                  <c:v>26100</c:v>
                </c:pt>
                <c:pt idx="112">
                  <c:v>26200</c:v>
                </c:pt>
                <c:pt idx="113">
                  <c:v>26300</c:v>
                </c:pt>
                <c:pt idx="114">
                  <c:v>26400</c:v>
                </c:pt>
                <c:pt idx="115">
                  <c:v>26500</c:v>
                </c:pt>
                <c:pt idx="116">
                  <c:v>26600</c:v>
                </c:pt>
                <c:pt idx="117">
                  <c:v>26700</c:v>
                </c:pt>
                <c:pt idx="118">
                  <c:v>26800</c:v>
                </c:pt>
                <c:pt idx="119">
                  <c:v>26900</c:v>
                </c:pt>
                <c:pt idx="120">
                  <c:v>27000</c:v>
                </c:pt>
                <c:pt idx="121">
                  <c:v>27100</c:v>
                </c:pt>
                <c:pt idx="122">
                  <c:v>27200</c:v>
                </c:pt>
                <c:pt idx="123">
                  <c:v>27300</c:v>
                </c:pt>
                <c:pt idx="124">
                  <c:v>27400</c:v>
                </c:pt>
                <c:pt idx="125">
                  <c:v>27500</c:v>
                </c:pt>
                <c:pt idx="126">
                  <c:v>27600</c:v>
                </c:pt>
                <c:pt idx="127">
                  <c:v>27700</c:v>
                </c:pt>
                <c:pt idx="128">
                  <c:v>27800</c:v>
                </c:pt>
                <c:pt idx="129">
                  <c:v>27900</c:v>
                </c:pt>
                <c:pt idx="130">
                  <c:v>28000</c:v>
                </c:pt>
                <c:pt idx="131">
                  <c:v>28100</c:v>
                </c:pt>
                <c:pt idx="132">
                  <c:v>28200</c:v>
                </c:pt>
                <c:pt idx="133">
                  <c:v>28300</c:v>
                </c:pt>
                <c:pt idx="134">
                  <c:v>28400</c:v>
                </c:pt>
                <c:pt idx="135">
                  <c:v>28500</c:v>
                </c:pt>
                <c:pt idx="136">
                  <c:v>28600</c:v>
                </c:pt>
                <c:pt idx="137">
                  <c:v>28700</c:v>
                </c:pt>
                <c:pt idx="138">
                  <c:v>28800</c:v>
                </c:pt>
                <c:pt idx="139">
                  <c:v>28900</c:v>
                </c:pt>
                <c:pt idx="140">
                  <c:v>29000</c:v>
                </c:pt>
                <c:pt idx="141">
                  <c:v>29100</c:v>
                </c:pt>
                <c:pt idx="142">
                  <c:v>29200</c:v>
                </c:pt>
                <c:pt idx="143">
                  <c:v>29300</c:v>
                </c:pt>
                <c:pt idx="144">
                  <c:v>29400</c:v>
                </c:pt>
                <c:pt idx="145">
                  <c:v>29500</c:v>
                </c:pt>
                <c:pt idx="146">
                  <c:v>29600</c:v>
                </c:pt>
                <c:pt idx="147">
                  <c:v>29700</c:v>
                </c:pt>
                <c:pt idx="148">
                  <c:v>29800</c:v>
                </c:pt>
                <c:pt idx="149">
                  <c:v>29900</c:v>
                </c:pt>
                <c:pt idx="150">
                  <c:v>30000</c:v>
                </c:pt>
                <c:pt idx="151">
                  <c:v>30100</c:v>
                </c:pt>
                <c:pt idx="152">
                  <c:v>30200</c:v>
                </c:pt>
                <c:pt idx="153">
                  <c:v>30300</c:v>
                </c:pt>
                <c:pt idx="154">
                  <c:v>30400</c:v>
                </c:pt>
                <c:pt idx="155">
                  <c:v>30500</c:v>
                </c:pt>
                <c:pt idx="156">
                  <c:v>30600</c:v>
                </c:pt>
                <c:pt idx="157">
                  <c:v>30700</c:v>
                </c:pt>
                <c:pt idx="158">
                  <c:v>30800</c:v>
                </c:pt>
                <c:pt idx="159">
                  <c:v>30900</c:v>
                </c:pt>
                <c:pt idx="160">
                  <c:v>31000</c:v>
                </c:pt>
                <c:pt idx="161">
                  <c:v>31100</c:v>
                </c:pt>
                <c:pt idx="162">
                  <c:v>31200</c:v>
                </c:pt>
                <c:pt idx="163">
                  <c:v>31300</c:v>
                </c:pt>
                <c:pt idx="164">
                  <c:v>31400</c:v>
                </c:pt>
                <c:pt idx="165">
                  <c:v>31500</c:v>
                </c:pt>
                <c:pt idx="166">
                  <c:v>31600</c:v>
                </c:pt>
                <c:pt idx="167">
                  <c:v>31700</c:v>
                </c:pt>
                <c:pt idx="168">
                  <c:v>31800</c:v>
                </c:pt>
                <c:pt idx="169">
                  <c:v>31900</c:v>
                </c:pt>
                <c:pt idx="170">
                  <c:v>32000</c:v>
                </c:pt>
                <c:pt idx="171">
                  <c:v>32100</c:v>
                </c:pt>
                <c:pt idx="172">
                  <c:v>32200</c:v>
                </c:pt>
                <c:pt idx="173">
                  <c:v>32300</c:v>
                </c:pt>
                <c:pt idx="174">
                  <c:v>32400</c:v>
                </c:pt>
                <c:pt idx="175">
                  <c:v>32500</c:v>
                </c:pt>
                <c:pt idx="176">
                  <c:v>32600</c:v>
                </c:pt>
                <c:pt idx="177">
                  <c:v>32700</c:v>
                </c:pt>
                <c:pt idx="178">
                  <c:v>32800</c:v>
                </c:pt>
                <c:pt idx="179">
                  <c:v>32900</c:v>
                </c:pt>
                <c:pt idx="180">
                  <c:v>33000</c:v>
                </c:pt>
                <c:pt idx="181">
                  <c:v>33100</c:v>
                </c:pt>
                <c:pt idx="182">
                  <c:v>33200</c:v>
                </c:pt>
                <c:pt idx="183">
                  <c:v>33300</c:v>
                </c:pt>
                <c:pt idx="184">
                  <c:v>33400</c:v>
                </c:pt>
                <c:pt idx="185">
                  <c:v>33500</c:v>
                </c:pt>
                <c:pt idx="186">
                  <c:v>33600</c:v>
                </c:pt>
                <c:pt idx="187">
                  <c:v>33700</c:v>
                </c:pt>
                <c:pt idx="188">
                  <c:v>33800</c:v>
                </c:pt>
                <c:pt idx="189">
                  <c:v>33900</c:v>
                </c:pt>
                <c:pt idx="190">
                  <c:v>34000</c:v>
                </c:pt>
                <c:pt idx="191">
                  <c:v>34100</c:v>
                </c:pt>
                <c:pt idx="192">
                  <c:v>34200</c:v>
                </c:pt>
                <c:pt idx="193">
                  <c:v>34300</c:v>
                </c:pt>
                <c:pt idx="194">
                  <c:v>34400</c:v>
                </c:pt>
                <c:pt idx="195">
                  <c:v>34500</c:v>
                </c:pt>
                <c:pt idx="196">
                  <c:v>34600</c:v>
                </c:pt>
                <c:pt idx="197">
                  <c:v>34700</c:v>
                </c:pt>
                <c:pt idx="198">
                  <c:v>34800</c:v>
                </c:pt>
                <c:pt idx="199">
                  <c:v>34900</c:v>
                </c:pt>
                <c:pt idx="200">
                  <c:v>35000</c:v>
                </c:pt>
                <c:pt idx="201">
                  <c:v>35100</c:v>
                </c:pt>
                <c:pt idx="202">
                  <c:v>35200</c:v>
                </c:pt>
                <c:pt idx="203">
                  <c:v>35300</c:v>
                </c:pt>
                <c:pt idx="204">
                  <c:v>35400</c:v>
                </c:pt>
                <c:pt idx="205">
                  <c:v>35500</c:v>
                </c:pt>
                <c:pt idx="206">
                  <c:v>35600</c:v>
                </c:pt>
                <c:pt idx="207">
                  <c:v>35700</c:v>
                </c:pt>
                <c:pt idx="208">
                  <c:v>35800</c:v>
                </c:pt>
                <c:pt idx="209">
                  <c:v>35900</c:v>
                </c:pt>
                <c:pt idx="210">
                  <c:v>36000</c:v>
                </c:pt>
                <c:pt idx="211">
                  <c:v>36100</c:v>
                </c:pt>
                <c:pt idx="212">
                  <c:v>36200</c:v>
                </c:pt>
                <c:pt idx="213">
                  <c:v>36300</c:v>
                </c:pt>
                <c:pt idx="214">
                  <c:v>36400</c:v>
                </c:pt>
                <c:pt idx="215">
                  <c:v>36500</c:v>
                </c:pt>
                <c:pt idx="216">
                  <c:v>36600</c:v>
                </c:pt>
                <c:pt idx="217">
                  <c:v>36700</c:v>
                </c:pt>
                <c:pt idx="218">
                  <c:v>36800</c:v>
                </c:pt>
                <c:pt idx="219">
                  <c:v>36900</c:v>
                </c:pt>
                <c:pt idx="220">
                  <c:v>37000</c:v>
                </c:pt>
                <c:pt idx="221">
                  <c:v>37100</c:v>
                </c:pt>
                <c:pt idx="222">
                  <c:v>37200</c:v>
                </c:pt>
                <c:pt idx="223">
                  <c:v>37300</c:v>
                </c:pt>
                <c:pt idx="224">
                  <c:v>37400</c:v>
                </c:pt>
                <c:pt idx="225">
                  <c:v>37500</c:v>
                </c:pt>
                <c:pt idx="226">
                  <c:v>37600</c:v>
                </c:pt>
                <c:pt idx="227">
                  <c:v>37700</c:v>
                </c:pt>
                <c:pt idx="228">
                  <c:v>37800</c:v>
                </c:pt>
                <c:pt idx="229">
                  <c:v>37900</c:v>
                </c:pt>
                <c:pt idx="230">
                  <c:v>38000</c:v>
                </c:pt>
                <c:pt idx="231">
                  <c:v>38100</c:v>
                </c:pt>
                <c:pt idx="232">
                  <c:v>38200</c:v>
                </c:pt>
                <c:pt idx="233">
                  <c:v>38300</c:v>
                </c:pt>
                <c:pt idx="234">
                  <c:v>38400</c:v>
                </c:pt>
                <c:pt idx="235">
                  <c:v>38500</c:v>
                </c:pt>
                <c:pt idx="236">
                  <c:v>38600</c:v>
                </c:pt>
                <c:pt idx="237">
                  <c:v>38700</c:v>
                </c:pt>
                <c:pt idx="238">
                  <c:v>38800</c:v>
                </c:pt>
                <c:pt idx="239">
                  <c:v>38900</c:v>
                </c:pt>
                <c:pt idx="240">
                  <c:v>39000</c:v>
                </c:pt>
                <c:pt idx="241">
                  <c:v>39100</c:v>
                </c:pt>
                <c:pt idx="242">
                  <c:v>39200</c:v>
                </c:pt>
                <c:pt idx="243">
                  <c:v>39300</c:v>
                </c:pt>
                <c:pt idx="244">
                  <c:v>39400</c:v>
                </c:pt>
                <c:pt idx="245">
                  <c:v>39500</c:v>
                </c:pt>
                <c:pt idx="246">
                  <c:v>39600</c:v>
                </c:pt>
                <c:pt idx="247">
                  <c:v>39700</c:v>
                </c:pt>
                <c:pt idx="248">
                  <c:v>39800</c:v>
                </c:pt>
                <c:pt idx="249">
                  <c:v>39900</c:v>
                </c:pt>
                <c:pt idx="250">
                  <c:v>40000</c:v>
                </c:pt>
                <c:pt idx="251">
                  <c:v>40100</c:v>
                </c:pt>
                <c:pt idx="252">
                  <c:v>40200</c:v>
                </c:pt>
                <c:pt idx="253">
                  <c:v>40300</c:v>
                </c:pt>
                <c:pt idx="254">
                  <c:v>40400</c:v>
                </c:pt>
                <c:pt idx="255">
                  <c:v>40500</c:v>
                </c:pt>
                <c:pt idx="256">
                  <c:v>40600</c:v>
                </c:pt>
                <c:pt idx="257">
                  <c:v>40700</c:v>
                </c:pt>
                <c:pt idx="258">
                  <c:v>40800</c:v>
                </c:pt>
                <c:pt idx="259">
                  <c:v>40900</c:v>
                </c:pt>
                <c:pt idx="260">
                  <c:v>41000</c:v>
                </c:pt>
                <c:pt idx="261">
                  <c:v>41100</c:v>
                </c:pt>
                <c:pt idx="262">
                  <c:v>41200</c:v>
                </c:pt>
                <c:pt idx="263">
                  <c:v>41300</c:v>
                </c:pt>
                <c:pt idx="264">
                  <c:v>41400</c:v>
                </c:pt>
                <c:pt idx="265">
                  <c:v>41500</c:v>
                </c:pt>
                <c:pt idx="266">
                  <c:v>41600</c:v>
                </c:pt>
                <c:pt idx="267">
                  <c:v>41700</c:v>
                </c:pt>
                <c:pt idx="268">
                  <c:v>41800</c:v>
                </c:pt>
                <c:pt idx="269">
                  <c:v>41900</c:v>
                </c:pt>
                <c:pt idx="270">
                  <c:v>42000</c:v>
                </c:pt>
                <c:pt idx="271">
                  <c:v>42100</c:v>
                </c:pt>
                <c:pt idx="272">
                  <c:v>42200</c:v>
                </c:pt>
                <c:pt idx="273">
                  <c:v>42300</c:v>
                </c:pt>
              </c:numCache>
            </c:numRef>
          </c:xVal>
          <c:yVal>
            <c:numRef>
              <c:f>'NW Limits'!$H$3:$H$276</c:f>
              <c:numCache>
                <c:formatCode>0.00%</c:formatCode>
                <c:ptCount val="274"/>
                <c:pt idx="0">
                  <c:v>0.41099999999999998</c:v>
                </c:pt>
                <c:pt idx="1">
                  <c:v>0.41099999999999998</c:v>
                </c:pt>
                <c:pt idx="2">
                  <c:v>0.41199999999999998</c:v>
                </c:pt>
                <c:pt idx="3">
                  <c:v>0.41199999999999998</c:v>
                </c:pt>
                <c:pt idx="4">
                  <c:v>0.41299999999999998</c:v>
                </c:pt>
                <c:pt idx="5">
                  <c:v>0.41299999999999998</c:v>
                </c:pt>
                <c:pt idx="6">
                  <c:v>0.41399999999999998</c:v>
                </c:pt>
                <c:pt idx="7">
                  <c:v>0.41399999999999998</c:v>
                </c:pt>
                <c:pt idx="8">
                  <c:v>0.41499999999999998</c:v>
                </c:pt>
                <c:pt idx="9">
                  <c:v>0.41499999999999998</c:v>
                </c:pt>
                <c:pt idx="10">
                  <c:v>0.41599999999999998</c:v>
                </c:pt>
                <c:pt idx="11">
                  <c:v>0.41599999999999998</c:v>
                </c:pt>
                <c:pt idx="12">
                  <c:v>0.41699999999999998</c:v>
                </c:pt>
                <c:pt idx="13">
                  <c:v>0.41699999999999998</c:v>
                </c:pt>
                <c:pt idx="14">
                  <c:v>0.41799999999999998</c:v>
                </c:pt>
                <c:pt idx="15">
                  <c:v>0.41799999999999998</c:v>
                </c:pt>
                <c:pt idx="16">
                  <c:v>0.41799999999999998</c:v>
                </c:pt>
                <c:pt idx="17">
                  <c:v>0.41899999999999998</c:v>
                </c:pt>
                <c:pt idx="18">
                  <c:v>0.41899999999999998</c:v>
                </c:pt>
                <c:pt idx="19">
                  <c:v>0.42</c:v>
                </c:pt>
                <c:pt idx="20">
                  <c:v>0.42</c:v>
                </c:pt>
                <c:pt idx="21">
                  <c:v>0.42</c:v>
                </c:pt>
                <c:pt idx="22">
                  <c:v>0.42099999999999999</c:v>
                </c:pt>
                <c:pt idx="23">
                  <c:v>0.42099999999999999</c:v>
                </c:pt>
                <c:pt idx="24">
                  <c:v>0.42199999999999999</c:v>
                </c:pt>
                <c:pt idx="25">
                  <c:v>0.42199999999999999</c:v>
                </c:pt>
                <c:pt idx="26">
                  <c:v>0.42199999999999999</c:v>
                </c:pt>
                <c:pt idx="27">
                  <c:v>0.42299999999999999</c:v>
                </c:pt>
                <c:pt idx="28">
                  <c:v>0.42299999999999999</c:v>
                </c:pt>
                <c:pt idx="29">
                  <c:v>0.42399999999999999</c:v>
                </c:pt>
                <c:pt idx="30">
                  <c:v>0.42399999999999999</c:v>
                </c:pt>
                <c:pt idx="31">
                  <c:v>0.42399999999999999</c:v>
                </c:pt>
                <c:pt idx="32">
                  <c:v>0.42499999999999999</c:v>
                </c:pt>
                <c:pt idx="33">
                  <c:v>0.42499999999999999</c:v>
                </c:pt>
                <c:pt idx="34">
                  <c:v>0.42499999999999999</c:v>
                </c:pt>
                <c:pt idx="35">
                  <c:v>0.42599999999999999</c:v>
                </c:pt>
                <c:pt idx="36">
                  <c:v>0.42599999999999999</c:v>
                </c:pt>
                <c:pt idx="37">
                  <c:v>0.42599999999999999</c:v>
                </c:pt>
                <c:pt idx="38">
                  <c:v>0.42699999999999999</c:v>
                </c:pt>
                <c:pt idx="39">
                  <c:v>0.42699999999999999</c:v>
                </c:pt>
                <c:pt idx="40">
                  <c:v>0.42699999999999999</c:v>
                </c:pt>
                <c:pt idx="41">
                  <c:v>0.42799999999999999</c:v>
                </c:pt>
                <c:pt idx="42">
                  <c:v>0.42799999999999999</c:v>
                </c:pt>
                <c:pt idx="43">
                  <c:v>0.42799999999999999</c:v>
                </c:pt>
                <c:pt idx="44">
                  <c:v>0.42899999999999999</c:v>
                </c:pt>
                <c:pt idx="45">
                  <c:v>0.42899999999999999</c:v>
                </c:pt>
                <c:pt idx="46">
                  <c:v>0.42899999999999999</c:v>
                </c:pt>
                <c:pt idx="47">
                  <c:v>0.43</c:v>
                </c:pt>
                <c:pt idx="48">
                  <c:v>0.43</c:v>
                </c:pt>
                <c:pt idx="49">
                  <c:v>0.43</c:v>
                </c:pt>
                <c:pt idx="50">
                  <c:v>0.43</c:v>
                </c:pt>
                <c:pt idx="51">
                  <c:v>0.43099999999999999</c:v>
                </c:pt>
                <c:pt idx="52">
                  <c:v>0.43099999999999999</c:v>
                </c:pt>
                <c:pt idx="53">
                  <c:v>0.43099999999999999</c:v>
                </c:pt>
                <c:pt idx="54">
                  <c:v>0.432</c:v>
                </c:pt>
                <c:pt idx="55">
                  <c:v>0.432</c:v>
                </c:pt>
                <c:pt idx="56">
                  <c:v>0.432</c:v>
                </c:pt>
                <c:pt idx="57">
                  <c:v>0.432</c:v>
                </c:pt>
                <c:pt idx="58">
                  <c:v>0.433</c:v>
                </c:pt>
                <c:pt idx="59">
                  <c:v>0.433</c:v>
                </c:pt>
                <c:pt idx="60">
                  <c:v>0.433</c:v>
                </c:pt>
                <c:pt idx="61">
                  <c:v>0.433</c:v>
                </c:pt>
                <c:pt idx="62">
                  <c:v>0.434</c:v>
                </c:pt>
                <c:pt idx="63">
                  <c:v>0.434</c:v>
                </c:pt>
                <c:pt idx="64">
                  <c:v>0.434</c:v>
                </c:pt>
                <c:pt idx="65">
                  <c:v>0.435</c:v>
                </c:pt>
                <c:pt idx="66">
                  <c:v>0.435</c:v>
                </c:pt>
                <c:pt idx="67">
                  <c:v>0.435</c:v>
                </c:pt>
                <c:pt idx="68">
                  <c:v>0.435</c:v>
                </c:pt>
                <c:pt idx="69">
                  <c:v>0.436</c:v>
                </c:pt>
                <c:pt idx="70">
                  <c:v>0.436</c:v>
                </c:pt>
                <c:pt idx="71">
                  <c:v>0.436</c:v>
                </c:pt>
                <c:pt idx="72">
                  <c:v>0.436</c:v>
                </c:pt>
                <c:pt idx="73">
                  <c:v>0.436</c:v>
                </c:pt>
                <c:pt idx="74">
                  <c:v>0.437</c:v>
                </c:pt>
                <c:pt idx="75">
                  <c:v>0.437</c:v>
                </c:pt>
                <c:pt idx="76">
                  <c:v>0.437</c:v>
                </c:pt>
                <c:pt idx="77">
                  <c:v>0.437</c:v>
                </c:pt>
                <c:pt idx="78">
                  <c:v>0.438</c:v>
                </c:pt>
                <c:pt idx="79">
                  <c:v>0.438</c:v>
                </c:pt>
                <c:pt idx="80">
                  <c:v>0.438</c:v>
                </c:pt>
                <c:pt idx="81">
                  <c:v>0.438</c:v>
                </c:pt>
                <c:pt idx="82">
                  <c:v>0.439</c:v>
                </c:pt>
                <c:pt idx="83">
                  <c:v>0.439</c:v>
                </c:pt>
                <c:pt idx="84">
                  <c:v>0.439</c:v>
                </c:pt>
                <c:pt idx="85">
                  <c:v>0.439</c:v>
                </c:pt>
                <c:pt idx="86">
                  <c:v>0.439</c:v>
                </c:pt>
                <c:pt idx="87">
                  <c:v>0.44</c:v>
                </c:pt>
                <c:pt idx="88">
                  <c:v>0.44</c:v>
                </c:pt>
                <c:pt idx="89">
                  <c:v>0.44</c:v>
                </c:pt>
                <c:pt idx="90">
                  <c:v>0.44</c:v>
                </c:pt>
                <c:pt idx="91">
                  <c:v>0.44</c:v>
                </c:pt>
                <c:pt idx="92">
                  <c:v>0.441</c:v>
                </c:pt>
                <c:pt idx="93">
                  <c:v>0.441</c:v>
                </c:pt>
                <c:pt idx="94">
                  <c:v>0.441</c:v>
                </c:pt>
                <c:pt idx="95">
                  <c:v>0.441</c:v>
                </c:pt>
                <c:pt idx="96">
                  <c:v>0.441</c:v>
                </c:pt>
                <c:pt idx="97">
                  <c:v>0.442</c:v>
                </c:pt>
                <c:pt idx="98">
                  <c:v>0.442</c:v>
                </c:pt>
                <c:pt idx="99">
                  <c:v>0.442</c:v>
                </c:pt>
                <c:pt idx="100">
                  <c:v>0.442</c:v>
                </c:pt>
                <c:pt idx="101">
                  <c:v>0.442</c:v>
                </c:pt>
                <c:pt idx="102">
                  <c:v>0.443</c:v>
                </c:pt>
                <c:pt idx="103">
                  <c:v>0.443</c:v>
                </c:pt>
                <c:pt idx="104">
                  <c:v>0.443</c:v>
                </c:pt>
                <c:pt idx="105">
                  <c:v>0.443</c:v>
                </c:pt>
                <c:pt idx="106">
                  <c:v>0.443</c:v>
                </c:pt>
                <c:pt idx="107">
                  <c:v>0.443</c:v>
                </c:pt>
                <c:pt idx="108">
                  <c:v>0.44400000000000001</c:v>
                </c:pt>
                <c:pt idx="109">
                  <c:v>0.44400000000000001</c:v>
                </c:pt>
                <c:pt idx="110">
                  <c:v>0.44400000000000001</c:v>
                </c:pt>
                <c:pt idx="111">
                  <c:v>0.44400000000000001</c:v>
                </c:pt>
                <c:pt idx="112">
                  <c:v>0.44400000000000001</c:v>
                </c:pt>
                <c:pt idx="113">
                  <c:v>0.44500000000000001</c:v>
                </c:pt>
                <c:pt idx="114">
                  <c:v>0.44500000000000001</c:v>
                </c:pt>
                <c:pt idx="115">
                  <c:v>0.44500000000000001</c:v>
                </c:pt>
                <c:pt idx="116">
                  <c:v>0.44500000000000001</c:v>
                </c:pt>
                <c:pt idx="117">
                  <c:v>0.44500000000000001</c:v>
                </c:pt>
                <c:pt idx="118">
                  <c:v>0.44500000000000001</c:v>
                </c:pt>
                <c:pt idx="119">
                  <c:v>0.44600000000000001</c:v>
                </c:pt>
                <c:pt idx="120">
                  <c:v>0.44600000000000001</c:v>
                </c:pt>
                <c:pt idx="121">
                  <c:v>0.44600000000000001</c:v>
                </c:pt>
                <c:pt idx="122">
                  <c:v>0.44600000000000001</c:v>
                </c:pt>
                <c:pt idx="123">
                  <c:v>0.44600000000000001</c:v>
                </c:pt>
                <c:pt idx="124">
                  <c:v>0.44600000000000001</c:v>
                </c:pt>
                <c:pt idx="125">
                  <c:v>0.44600000000000001</c:v>
                </c:pt>
                <c:pt idx="126">
                  <c:v>0.44700000000000001</c:v>
                </c:pt>
                <c:pt idx="127">
                  <c:v>0.44700000000000001</c:v>
                </c:pt>
                <c:pt idx="128">
                  <c:v>0.44700000000000001</c:v>
                </c:pt>
                <c:pt idx="129">
                  <c:v>0.44700000000000001</c:v>
                </c:pt>
                <c:pt idx="130">
                  <c:v>0.44700000000000001</c:v>
                </c:pt>
                <c:pt idx="131">
                  <c:v>0.44700000000000001</c:v>
                </c:pt>
                <c:pt idx="132">
                  <c:v>0.44800000000000001</c:v>
                </c:pt>
                <c:pt idx="133">
                  <c:v>0.44800000000000001</c:v>
                </c:pt>
                <c:pt idx="134">
                  <c:v>0.44800000000000001</c:v>
                </c:pt>
                <c:pt idx="135">
                  <c:v>0.44800000000000001</c:v>
                </c:pt>
                <c:pt idx="136">
                  <c:v>0.44800000000000001</c:v>
                </c:pt>
                <c:pt idx="137">
                  <c:v>0.44800000000000001</c:v>
                </c:pt>
                <c:pt idx="138">
                  <c:v>0.44800000000000001</c:v>
                </c:pt>
                <c:pt idx="139">
                  <c:v>0.44900000000000001</c:v>
                </c:pt>
                <c:pt idx="140">
                  <c:v>0.44900000000000001</c:v>
                </c:pt>
                <c:pt idx="141">
                  <c:v>0.44900000000000001</c:v>
                </c:pt>
                <c:pt idx="142">
                  <c:v>0.44900000000000001</c:v>
                </c:pt>
                <c:pt idx="143">
                  <c:v>0.44900000000000001</c:v>
                </c:pt>
                <c:pt idx="144">
                  <c:v>0.44900000000000001</c:v>
                </c:pt>
                <c:pt idx="145">
                  <c:v>0.44900000000000001</c:v>
                </c:pt>
                <c:pt idx="146">
                  <c:v>0.45</c:v>
                </c:pt>
                <c:pt idx="147">
                  <c:v>0.45</c:v>
                </c:pt>
                <c:pt idx="148">
                  <c:v>0.45</c:v>
                </c:pt>
                <c:pt idx="149">
                  <c:v>0.45</c:v>
                </c:pt>
                <c:pt idx="150">
                  <c:v>0.45</c:v>
                </c:pt>
                <c:pt idx="151">
                  <c:v>0.45</c:v>
                </c:pt>
                <c:pt idx="152">
                  <c:v>0.45</c:v>
                </c:pt>
                <c:pt idx="153">
                  <c:v>0.45</c:v>
                </c:pt>
                <c:pt idx="154">
                  <c:v>0.45100000000000001</c:v>
                </c:pt>
                <c:pt idx="155">
                  <c:v>0.45100000000000001</c:v>
                </c:pt>
                <c:pt idx="156">
                  <c:v>0.45100000000000001</c:v>
                </c:pt>
                <c:pt idx="157">
                  <c:v>0.45100000000000001</c:v>
                </c:pt>
                <c:pt idx="158">
                  <c:v>0.45100000000000001</c:v>
                </c:pt>
                <c:pt idx="159">
                  <c:v>0.45100000000000001</c:v>
                </c:pt>
                <c:pt idx="160">
                  <c:v>0.45100000000000001</c:v>
                </c:pt>
                <c:pt idx="161">
                  <c:v>0.45100000000000001</c:v>
                </c:pt>
                <c:pt idx="162">
                  <c:v>0.45200000000000001</c:v>
                </c:pt>
                <c:pt idx="163">
                  <c:v>0.45200000000000001</c:v>
                </c:pt>
                <c:pt idx="164">
                  <c:v>0.45200000000000001</c:v>
                </c:pt>
                <c:pt idx="165">
                  <c:v>0.45200000000000001</c:v>
                </c:pt>
                <c:pt idx="166">
                  <c:v>0.45200000000000001</c:v>
                </c:pt>
                <c:pt idx="167">
                  <c:v>0.45200000000000001</c:v>
                </c:pt>
                <c:pt idx="168">
                  <c:v>0.45200000000000001</c:v>
                </c:pt>
                <c:pt idx="169">
                  <c:v>0.45200000000000001</c:v>
                </c:pt>
                <c:pt idx="170">
                  <c:v>0.45200000000000001</c:v>
                </c:pt>
                <c:pt idx="171">
                  <c:v>0.45300000000000001</c:v>
                </c:pt>
                <c:pt idx="172">
                  <c:v>0.45300000000000001</c:v>
                </c:pt>
                <c:pt idx="173">
                  <c:v>0.45300000000000001</c:v>
                </c:pt>
                <c:pt idx="174">
                  <c:v>0.45300000000000001</c:v>
                </c:pt>
                <c:pt idx="175">
                  <c:v>0.45300000000000001</c:v>
                </c:pt>
                <c:pt idx="176">
                  <c:v>0.45300000000000001</c:v>
                </c:pt>
                <c:pt idx="177">
                  <c:v>0.45300000000000001</c:v>
                </c:pt>
                <c:pt idx="178">
                  <c:v>0.45300000000000001</c:v>
                </c:pt>
                <c:pt idx="179">
                  <c:v>0.45300000000000001</c:v>
                </c:pt>
                <c:pt idx="180">
                  <c:v>0.45400000000000001</c:v>
                </c:pt>
                <c:pt idx="181">
                  <c:v>0.45400000000000001</c:v>
                </c:pt>
                <c:pt idx="182">
                  <c:v>0.45400000000000001</c:v>
                </c:pt>
                <c:pt idx="183">
                  <c:v>0.45400000000000001</c:v>
                </c:pt>
                <c:pt idx="184">
                  <c:v>0.45400000000000001</c:v>
                </c:pt>
                <c:pt idx="185">
                  <c:v>0.45400000000000001</c:v>
                </c:pt>
                <c:pt idx="186">
                  <c:v>0.45400000000000001</c:v>
                </c:pt>
                <c:pt idx="187">
                  <c:v>0.45400000000000001</c:v>
                </c:pt>
                <c:pt idx="188">
                  <c:v>0.45400000000000001</c:v>
                </c:pt>
                <c:pt idx="189">
                  <c:v>0.45500000000000002</c:v>
                </c:pt>
                <c:pt idx="190">
                  <c:v>0.45500000000000002</c:v>
                </c:pt>
                <c:pt idx="191">
                  <c:v>0.45500000000000002</c:v>
                </c:pt>
                <c:pt idx="192">
                  <c:v>0.45500000000000002</c:v>
                </c:pt>
                <c:pt idx="193">
                  <c:v>0.45500000000000002</c:v>
                </c:pt>
                <c:pt idx="194">
                  <c:v>0.45500000000000002</c:v>
                </c:pt>
                <c:pt idx="195">
                  <c:v>0.45500000000000002</c:v>
                </c:pt>
                <c:pt idx="196">
                  <c:v>0.45500000000000002</c:v>
                </c:pt>
                <c:pt idx="197">
                  <c:v>0.45500000000000002</c:v>
                </c:pt>
                <c:pt idx="198">
                  <c:v>0.45500000000000002</c:v>
                </c:pt>
                <c:pt idx="199">
                  <c:v>0.45600000000000002</c:v>
                </c:pt>
                <c:pt idx="200">
                  <c:v>0.45600000000000002</c:v>
                </c:pt>
                <c:pt idx="201">
                  <c:v>0.45600000000000002</c:v>
                </c:pt>
                <c:pt idx="202">
                  <c:v>0.45600000000000002</c:v>
                </c:pt>
                <c:pt idx="203">
                  <c:v>0.45600000000000002</c:v>
                </c:pt>
                <c:pt idx="204">
                  <c:v>0.45600000000000002</c:v>
                </c:pt>
                <c:pt idx="205">
                  <c:v>0.45600000000000002</c:v>
                </c:pt>
                <c:pt idx="206">
                  <c:v>0.45600000000000002</c:v>
                </c:pt>
                <c:pt idx="207">
                  <c:v>0.45600000000000002</c:v>
                </c:pt>
                <c:pt idx="208">
                  <c:v>0.45600000000000002</c:v>
                </c:pt>
                <c:pt idx="209">
                  <c:v>0.45600000000000002</c:v>
                </c:pt>
                <c:pt idx="210">
                  <c:v>0.45700000000000002</c:v>
                </c:pt>
                <c:pt idx="211">
                  <c:v>0.45700000000000002</c:v>
                </c:pt>
                <c:pt idx="212">
                  <c:v>0.45700000000000002</c:v>
                </c:pt>
                <c:pt idx="213">
                  <c:v>0.45700000000000002</c:v>
                </c:pt>
                <c:pt idx="214">
                  <c:v>0.45700000000000002</c:v>
                </c:pt>
                <c:pt idx="215">
                  <c:v>0.45700000000000002</c:v>
                </c:pt>
                <c:pt idx="216">
                  <c:v>0.45800000000000002</c:v>
                </c:pt>
                <c:pt idx="217">
                  <c:v>0.45800000000000002</c:v>
                </c:pt>
                <c:pt idx="218">
                  <c:v>0.45800000000000002</c:v>
                </c:pt>
                <c:pt idx="219">
                  <c:v>0.45800000000000002</c:v>
                </c:pt>
                <c:pt idx="220">
                  <c:v>0.45800000000000002</c:v>
                </c:pt>
                <c:pt idx="221">
                  <c:v>0.45800000000000002</c:v>
                </c:pt>
                <c:pt idx="222">
                  <c:v>0.45800000000000002</c:v>
                </c:pt>
                <c:pt idx="223">
                  <c:v>0.45800000000000002</c:v>
                </c:pt>
                <c:pt idx="224">
                  <c:v>0.45800000000000002</c:v>
                </c:pt>
                <c:pt idx="225">
                  <c:v>0.45800000000000002</c:v>
                </c:pt>
                <c:pt idx="226">
                  <c:v>0.45800000000000002</c:v>
                </c:pt>
                <c:pt idx="227">
                  <c:v>0.45800000000000002</c:v>
                </c:pt>
                <c:pt idx="228">
                  <c:v>0.45800000000000002</c:v>
                </c:pt>
                <c:pt idx="229">
                  <c:v>0.45800000000000002</c:v>
                </c:pt>
                <c:pt idx="230">
                  <c:v>0.45800000000000002</c:v>
                </c:pt>
                <c:pt idx="231">
                  <c:v>0.45800000000000002</c:v>
                </c:pt>
                <c:pt idx="232">
                  <c:v>0.45800000000000002</c:v>
                </c:pt>
                <c:pt idx="233">
                  <c:v>0.45900000000000002</c:v>
                </c:pt>
                <c:pt idx="234">
                  <c:v>0.45900000000000002</c:v>
                </c:pt>
                <c:pt idx="235">
                  <c:v>0.45900000000000002</c:v>
                </c:pt>
                <c:pt idx="236">
                  <c:v>0.45900000000000002</c:v>
                </c:pt>
                <c:pt idx="237">
                  <c:v>0.45900000000000002</c:v>
                </c:pt>
                <c:pt idx="238">
                  <c:v>0.45900000000000002</c:v>
                </c:pt>
                <c:pt idx="239">
                  <c:v>0.45900000000000002</c:v>
                </c:pt>
                <c:pt idx="240">
                  <c:v>0.45900000000000002</c:v>
                </c:pt>
                <c:pt idx="241">
                  <c:v>0.45900000000000002</c:v>
                </c:pt>
                <c:pt idx="242">
                  <c:v>0.45900000000000002</c:v>
                </c:pt>
                <c:pt idx="243">
                  <c:v>0.45900000000000002</c:v>
                </c:pt>
                <c:pt idx="244">
                  <c:v>0.45900000000000002</c:v>
                </c:pt>
                <c:pt idx="245">
                  <c:v>0.45900000000000002</c:v>
                </c:pt>
                <c:pt idx="246">
                  <c:v>0.46</c:v>
                </c:pt>
                <c:pt idx="247">
                  <c:v>0.46</c:v>
                </c:pt>
                <c:pt idx="248">
                  <c:v>0.46</c:v>
                </c:pt>
                <c:pt idx="249">
                  <c:v>0.46</c:v>
                </c:pt>
                <c:pt idx="250">
                  <c:v>0.46</c:v>
                </c:pt>
                <c:pt idx="251">
                  <c:v>0.46</c:v>
                </c:pt>
                <c:pt idx="252">
                  <c:v>0.46</c:v>
                </c:pt>
                <c:pt idx="253">
                  <c:v>0.46</c:v>
                </c:pt>
                <c:pt idx="254">
                  <c:v>0.46</c:v>
                </c:pt>
                <c:pt idx="255">
                  <c:v>0.46</c:v>
                </c:pt>
                <c:pt idx="256">
                  <c:v>0.46</c:v>
                </c:pt>
                <c:pt idx="257">
                  <c:v>0.46</c:v>
                </c:pt>
                <c:pt idx="258">
                  <c:v>0.46</c:v>
                </c:pt>
                <c:pt idx="259">
                  <c:v>0.46</c:v>
                </c:pt>
                <c:pt idx="260">
                  <c:v>0.46100000000000002</c:v>
                </c:pt>
                <c:pt idx="261">
                  <c:v>0.46100000000000002</c:v>
                </c:pt>
                <c:pt idx="262">
                  <c:v>0.46100000000000002</c:v>
                </c:pt>
                <c:pt idx="263">
                  <c:v>0.46100000000000002</c:v>
                </c:pt>
                <c:pt idx="264">
                  <c:v>0.46100000000000002</c:v>
                </c:pt>
                <c:pt idx="265">
                  <c:v>0.46100000000000002</c:v>
                </c:pt>
                <c:pt idx="266">
                  <c:v>0.46100000000000002</c:v>
                </c:pt>
                <c:pt idx="267">
                  <c:v>0.46100000000000002</c:v>
                </c:pt>
                <c:pt idx="268">
                  <c:v>0.46100000000000002</c:v>
                </c:pt>
                <c:pt idx="269">
                  <c:v>0.46100000000000002</c:v>
                </c:pt>
                <c:pt idx="270">
                  <c:v>0.46</c:v>
                </c:pt>
                <c:pt idx="271">
                  <c:v>0.45800000000000002</c:v>
                </c:pt>
                <c:pt idx="272">
                  <c:v>0.45500000000000002</c:v>
                </c:pt>
                <c:pt idx="273">
                  <c:v>0.45200000000000001</c:v>
                </c:pt>
              </c:numCache>
            </c:numRef>
          </c:yVal>
          <c:smooth val="1"/>
        </c:ser>
        <c:axId val="96960896"/>
        <c:axId val="96962432"/>
      </c:scatterChart>
      <c:valAx>
        <c:axId val="96960896"/>
        <c:scaling>
          <c:orientation val="minMax"/>
          <c:max val="50000"/>
          <c:min val="15000"/>
        </c:scaling>
        <c:axPos val="t"/>
        <c:numFmt formatCode="#,##0" sourceLinked="1"/>
        <c:tickLblPos val="nextTo"/>
        <c:crossAx val="96962432"/>
        <c:crosses val="autoZero"/>
        <c:crossBetween val="midCat"/>
      </c:valAx>
      <c:valAx>
        <c:axId val="96962432"/>
        <c:scaling>
          <c:orientation val="maxMin"/>
          <c:max val="0.5"/>
          <c:min val="0.1"/>
        </c:scaling>
        <c:axPos val="l"/>
        <c:majorGridlines/>
        <c:numFmt formatCode="General" sourceLinked="1"/>
        <c:tickLblPos val="nextTo"/>
        <c:crossAx val="9696089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Drop" dropLines="16" dropStyle="combo" dx="16" fmlaLink="Calculations!$B$3" fmlaRange="'Tail Number'!$A$2:$A$33" noThreeD="1" sel="14" val="13"/>
</file>

<file path=xl/ctrlProps/ctrlProp3.xml><?xml version="1.0" encoding="utf-8"?>
<formControlPr xmlns="http://schemas.microsoft.com/office/spreadsheetml/2009/9/main" objectType="Drop" dropStyle="combo" dx="16" fmlaLink="Calculations!$AB$3" fmlaRange="Stores!$A$3:$D$30" noThreeD="1" val="0"/>
</file>

<file path=xl/ctrlProps/ctrlProp4.xml><?xml version="1.0" encoding="utf-8"?>
<formControlPr xmlns="http://schemas.microsoft.com/office/spreadsheetml/2009/9/main" objectType="Drop" dropStyle="combo" dx="16" fmlaLink="Calculations!$AB$5" fmlaRange="Stores!$E$3:$H$30" noThreeD="1" val="0"/>
</file>

<file path=xl/ctrlProps/ctrlProp5.xml><?xml version="1.0" encoding="utf-8"?>
<formControlPr xmlns="http://schemas.microsoft.com/office/spreadsheetml/2009/9/main" objectType="Drop" dropStyle="combo" dx="16" fmlaLink="Calculations!$AB$7" fmlaRange="Stores!$I$3:$L$30" noThreeD="1" sel="2" val="0"/>
</file>

<file path=xl/ctrlProps/ctrlProp6.xml><?xml version="1.0" encoding="utf-8"?>
<formControlPr xmlns="http://schemas.microsoft.com/office/spreadsheetml/2009/9/main" objectType="Drop" dropStyle="combo" dx="16" fmlaLink="Calculations!$AB$9" fmlaRange="Stores!$M$3:$P$30" noThreeD="1" sel="3" val="0"/>
</file>

<file path=xl/ctrlProps/ctrlProp7.xml><?xml version="1.0" encoding="utf-8"?>
<formControlPr xmlns="http://schemas.microsoft.com/office/spreadsheetml/2009/9/main" objectType="Drop" dropStyle="combo" dx="16" fmlaLink="Calculations!$AB$12" fmlaRange="Stores!$U$3:$X$30" noThreeD="1" val="0"/>
</file>

<file path=xl/ctrlProps/ctrlProp8.xml><?xml version="1.0" encoding="utf-8"?>
<formControlPr xmlns="http://schemas.microsoft.com/office/spreadsheetml/2009/9/main" objectType="Drop" dropStyle="combo" dx="16" fmlaLink="Calculations!$AB$15" fmlaRange="Stores!$AC$3:$AF$30" noThreeD="1" sel="3" val="0"/>
</file>

<file path=xl/ctrlProps/ctrlProp9.xml><?xml version="1.0" encoding="utf-8"?>
<formControlPr xmlns="http://schemas.microsoft.com/office/spreadsheetml/2009/9/main" objectType="Drop" dropStyle="combo" dx="16" fmlaLink="Calculations!$AB$17" fmlaRange="Stores!$AG$3:$AJ$30" noThreeD="1" val="0"/>
</file>

<file path=xl/ctrlProps/ctrlProp10.xml><?xml version="1.0" encoding="utf-8"?>
<formControlPr xmlns="http://schemas.microsoft.com/office/spreadsheetml/2009/9/main" objectType="Drop" dropStyle="combo" dx="16" fmlaLink="Calculations!$AB$19" fmlaRange="Stores!$AK$3:$AN$30" noThreeD="1" val="0"/>
</file>

<file path=xl/ctrlProps/ctrlProp11.xml><?xml version="1.0" encoding="utf-8"?>
<formControlPr xmlns="http://schemas.microsoft.com/office/spreadsheetml/2009/9/main" objectType="Drop" dropStyle="combo" dx="16" fmlaLink="Calculations!$AB$11" fmlaRange="Stores!$Q$3:$T$30" noThreeD="1" val="0"/>
</file>

<file path=xl/ctrlProps/ctrlProp12.xml><?xml version="1.0" encoding="utf-8"?>
<formControlPr xmlns="http://schemas.microsoft.com/office/spreadsheetml/2009/9/main" objectType="Drop" dropStyle="combo" dx="16" fmlaLink="Calculations!$AB$14" fmlaRange="Stores!$Y$3:$AB$30" noThreeD="1" val="0"/>
</file>

<file path=xl/ctrlProps/ctrlProp13.xml><?xml version="1.0" encoding="utf-8"?>
<formControlPr xmlns="http://schemas.microsoft.com/office/spreadsheetml/2009/9/main" objectType="Drop" dropStyle="combo" dx="16" fmlaLink="Calculations!$AB$21" fmlaRange="Stores!$AO$3:$AR$30" noThreeD="1" val="0"/>
</file>

<file path=xl/ctrlProps/ctrlProp14.xml><?xml version="1.0" encoding="utf-8"?>
<formControlPr xmlns="http://schemas.microsoft.com/office/spreadsheetml/2009/9/main" objectType="Drop" dropStyle="combo" dx="16" fmlaLink="Calculations!$AB$4" fmlaRange="Stores!$A$32:$D$62" noThreeD="1" val="0"/>
</file>

<file path=xl/ctrlProps/ctrlProp15.xml><?xml version="1.0" encoding="utf-8"?>
<formControlPr xmlns="http://schemas.microsoft.com/office/spreadsheetml/2009/9/main" objectType="Drop" dropStyle="combo" dx="16" fmlaLink="Calculations!$AB$6" fmlaRange="Stores!$E$32:$E$62" noThreeD="1" val="0"/>
</file>

<file path=xl/ctrlProps/ctrlProp16.xml><?xml version="1.0" encoding="utf-8"?>
<formControlPr xmlns="http://schemas.microsoft.com/office/spreadsheetml/2009/9/main" objectType="Drop" dropStyle="combo" dx="16" fmlaLink="Calculations!$AB$8" fmlaRange="Stores!$I$32:$I$62" noThreeD="1" sel="2" val="0"/>
</file>

<file path=xl/ctrlProps/ctrlProp17.xml><?xml version="1.0" encoding="utf-8"?>
<formControlPr xmlns="http://schemas.microsoft.com/office/spreadsheetml/2009/9/main" objectType="Drop" dropStyle="combo" dx="16" fmlaLink="Calculations!$AB$10" fmlaRange="Stores!$M$32:$M$62" noThreeD="1" val="0"/>
</file>

<file path=xl/ctrlProps/ctrlProp18.xml><?xml version="1.0" encoding="utf-8"?>
<formControlPr xmlns="http://schemas.microsoft.com/office/spreadsheetml/2009/9/main" objectType="Drop" dropStyle="combo" dx="16" fmlaLink="Calculations!$AB$13" fmlaRange="Stores!$U$32:$U$62" noThreeD="1" val="0"/>
</file>

<file path=xl/ctrlProps/ctrlProp19.xml><?xml version="1.0" encoding="utf-8"?>
<formControlPr xmlns="http://schemas.microsoft.com/office/spreadsheetml/2009/9/main" objectType="Drop" dropStyle="combo" dx="16" fmlaLink="Calculations!$AB$16" fmlaRange="Stores!$AC$32:$AC$62" noThreeD="1" val="0"/>
</file>

<file path=xl/ctrlProps/ctrlProp20.xml><?xml version="1.0" encoding="utf-8"?>
<formControlPr xmlns="http://schemas.microsoft.com/office/spreadsheetml/2009/9/main" objectType="Drop" dropStyle="combo" dx="16" fmlaLink="Calculations!$AB$18" fmlaRange="Stores!$AG$32:$AG$62" noThreeD="1" sel="2" val="0"/>
</file>

<file path=xl/ctrlProps/ctrlProp21.xml><?xml version="1.0" encoding="utf-8"?>
<formControlPr xmlns="http://schemas.microsoft.com/office/spreadsheetml/2009/9/main" objectType="Drop" dropStyle="combo" dx="16" fmlaLink="Calculations!$AB$20" fmlaRange="Stores!$AK$32:$AK$62" noThreeD="1" val="0"/>
</file>

<file path=xl/ctrlProps/ctrlProp22.xml><?xml version="1.0" encoding="utf-8"?>
<formControlPr xmlns="http://schemas.microsoft.com/office/spreadsheetml/2009/9/main" objectType="Drop" dropStyle="combo" dx="16" fmlaLink="Calculations!$AB$22" fmlaRange="Stores!$AO$32:$AO$62" noThreeD="1" val="0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CheckBox" fmlaLink="Calculations!$AG$3" lockText="1" noThreeD="1"/>
</file>

<file path=xl/ctrlProps/ctrlProp25.xml><?xml version="1.0" encoding="utf-8"?>
<formControlPr xmlns="http://schemas.microsoft.com/office/spreadsheetml/2009/9/main" objectType="CheckBox" fmlaLink="Calculations!$AG$4" lockText="1" noThreeD="1"/>
</file>

<file path=xl/ctrlProps/ctrlProp26.xml><?xml version="1.0" encoding="utf-8"?>
<formControlPr xmlns="http://schemas.microsoft.com/office/spreadsheetml/2009/9/main" objectType="CheckBox" fmlaLink="Calculations!$AG$5" lockText="1" noThreeD="1"/>
</file>

<file path=xl/ctrlProps/ctrlProp27.xml><?xml version="1.0" encoding="utf-8"?>
<formControlPr xmlns="http://schemas.microsoft.com/office/spreadsheetml/2009/9/main" objectType="CheckBox" fmlaLink="Calculations!$AG$6" lockText="1" noThreeD="1"/>
</file>

<file path=xl/ctrlProps/ctrlProp28.xml><?xml version="1.0" encoding="utf-8"?>
<formControlPr xmlns="http://schemas.microsoft.com/office/spreadsheetml/2009/9/main" objectType="CheckBox" checked="Checked" fmlaLink="Calculations!$AG$7" lockText="1" noThreeD="1"/>
</file>

<file path=xl/ctrlProps/ctrlProp29.xml><?xml version="1.0" encoding="utf-8"?>
<formControlPr xmlns="http://schemas.microsoft.com/office/spreadsheetml/2009/9/main" objectType="CheckBox" fmlaLink="Calculations!$AG$8" lockText="1" noThreeD="1"/>
</file>

<file path=xl/ctrlProps/ctrlProp30.xml><?xml version="1.0" encoding="utf-8"?>
<formControlPr xmlns="http://schemas.microsoft.com/office/spreadsheetml/2009/9/main" objectType="CheckBox" checked="Checked" fmlaLink="Calculations!$AG$9" lockText="1" noThreeD="1"/>
</file>

<file path=xl/ctrlProps/ctrlProp31.xml><?xml version="1.0" encoding="utf-8"?>
<formControlPr xmlns="http://schemas.microsoft.com/office/spreadsheetml/2009/9/main" objectType="CheckBox" fmlaLink="Calculations!$AG$10" lockText="1" noThreeD="1"/>
</file>

<file path=xl/ctrlProps/ctrlProp32.xml><?xml version="1.0" encoding="utf-8"?>
<formControlPr xmlns="http://schemas.microsoft.com/office/spreadsheetml/2009/9/main" objectType="CheckBox" fmlaLink="Calculations!$AG$12" lockText="1" noThreeD="1"/>
</file>

<file path=xl/ctrlProps/ctrlProp33.xml><?xml version="1.0" encoding="utf-8"?>
<formControlPr xmlns="http://schemas.microsoft.com/office/spreadsheetml/2009/9/main" objectType="CheckBox" fmlaLink="Calculations!$AG$13" lockText="1" noThreeD="1"/>
</file>

<file path=xl/ctrlProps/ctrlProp34.xml><?xml version="1.0" encoding="utf-8"?>
<formControlPr xmlns="http://schemas.microsoft.com/office/spreadsheetml/2009/9/main" objectType="CheckBox" checked="Checked" fmlaLink="Calculations!$AG$15" lockText="1" noThreeD="1"/>
</file>

<file path=xl/ctrlProps/ctrlProp35.xml><?xml version="1.0" encoding="utf-8"?>
<formControlPr xmlns="http://schemas.microsoft.com/office/spreadsheetml/2009/9/main" objectType="CheckBox" fmlaLink="Calculations!$AG$16" lockText="1" noThreeD="1"/>
</file>

<file path=xl/ctrlProps/ctrlProp36.xml><?xml version="1.0" encoding="utf-8"?>
<formControlPr xmlns="http://schemas.microsoft.com/office/spreadsheetml/2009/9/main" objectType="CheckBox" fmlaLink="Calculations!$AG$17" lockText="1" noThreeD="1"/>
</file>

<file path=xl/ctrlProps/ctrlProp37.xml><?xml version="1.0" encoding="utf-8"?>
<formControlPr xmlns="http://schemas.microsoft.com/office/spreadsheetml/2009/9/main" objectType="CheckBox" fmlaLink="Calculations!$AG$18" lockText="1" noThreeD="1"/>
</file>

<file path=xl/ctrlProps/ctrlProp38.xml><?xml version="1.0" encoding="utf-8"?>
<formControlPr xmlns="http://schemas.microsoft.com/office/spreadsheetml/2009/9/main" objectType="CheckBox" fmlaLink="Calculations!$AG$19" lockText="1" noThreeD="1"/>
</file>

<file path=xl/ctrlProps/ctrlProp39.xml><?xml version="1.0" encoding="utf-8"?>
<formControlPr xmlns="http://schemas.microsoft.com/office/spreadsheetml/2009/9/main" objectType="CheckBox" fmlaLink="Calculations!$AG$20" lockText="1" noThreeD="1"/>
</file>

<file path=xl/ctrlProps/ctrlProp40.xml><?xml version="1.0" encoding="utf-8"?>
<formControlPr xmlns="http://schemas.microsoft.com/office/spreadsheetml/2009/9/main" objectType="CheckBox" fmlaLink="Calculations!$AG$21" lockText="1" noThreeD="1"/>
</file>

<file path=xl/ctrlProps/ctrlProp41.xml><?xml version="1.0" encoding="utf-8"?>
<formControlPr xmlns="http://schemas.microsoft.com/office/spreadsheetml/2009/9/main" objectType="CheckBox" fmlaLink="Calculations!$AG$22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Drop" dropStyle="combo" dx="16" fmlaLink="Calculations!$D$3" fmlaRange="Type!$A$2:$A$7" noThreeD="1" sel="3" val="0"/>
</file>

<file path=xl/ctrlProps/ctrlProp45.xml><?xml version="1.0" encoding="utf-8"?>
<formControlPr xmlns="http://schemas.microsoft.com/office/spreadsheetml/2009/9/main" objectType="Drop" dropStyle="combo" dx="16" fmlaLink="Calculations!$E$3" fmlaRange="Type!$B$2:$B$10" noThreeD="1" sel="4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Radio" checked="Checked" firstButton="1" fmlaLink="Calculations!$Q$3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Label" lockText="1"/>
</file>

<file path=xl/ctrlProps/ctrlProp53.xml><?xml version="1.0" encoding="utf-8"?>
<formControlPr xmlns="http://schemas.microsoft.com/office/spreadsheetml/2009/9/main" objectType="Label" lockText="1"/>
</file>

<file path=xl/ctrlProps/ctrlProp54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419100</xdr:colOff>
      <xdr:row>5</xdr:row>
      <xdr:rowOff>66675</xdr:rowOff>
    </xdr:from>
    <xdr:to>
      <xdr:col>14</xdr:col>
      <xdr:colOff>323850</xdr:colOff>
      <xdr:row>20</xdr:row>
      <xdr:rowOff>62062</xdr:rowOff>
    </xdr:to>
    <xdr:pic>
      <xdr:nvPicPr>
        <xdr:cNvPr id="4" name="Picture 3" descr="F-16 Rear View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57500" y="1019175"/>
          <a:ext cx="6000750" cy="2890987"/>
        </a:xfrm>
        <a:prstGeom prst="rect">
          <a:avLst/>
        </a:prstGeom>
        <a:noFill/>
        <a:ln/>
      </xdr:spPr>
    </xdr:pic>
    <xdr:clientData/>
  </xdr:twoCellAnchor>
  <xdr:oneCellAnchor>
    <xdr:from>
      <xdr:col>1</xdr:col>
      <xdr:colOff>485775</xdr:colOff>
      <xdr:row>32</xdr:row>
      <xdr:rowOff>47625</xdr:rowOff>
    </xdr:from>
    <xdr:ext cx="657937" cy="342786"/>
    <xdr:sp macro="" textlink="">
      <xdr:nvSpPr>
        <xdr:cNvPr id="5" name="TextBox 4"/>
        <xdr:cNvSpPr txBox="1"/>
      </xdr:nvSpPr>
      <xdr:spPr>
        <a:xfrm>
          <a:off x="1095375" y="6181725"/>
          <a:ext cx="657937" cy="34278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600" b="1" u="sng"/>
            <a:t>STA 1</a:t>
          </a:r>
        </a:p>
      </xdr:txBody>
    </xdr:sp>
    <xdr:clientData/>
  </xdr:oneCellAnchor>
  <xdr:oneCellAnchor>
    <xdr:from>
      <xdr:col>6</xdr:col>
      <xdr:colOff>276225</xdr:colOff>
      <xdr:row>32</xdr:row>
      <xdr:rowOff>47625</xdr:rowOff>
    </xdr:from>
    <xdr:ext cx="657937" cy="342786"/>
    <xdr:sp macro="" textlink="">
      <xdr:nvSpPr>
        <xdr:cNvPr id="6" name="TextBox 5"/>
        <xdr:cNvSpPr txBox="1"/>
      </xdr:nvSpPr>
      <xdr:spPr>
        <a:xfrm>
          <a:off x="3933825" y="6181725"/>
          <a:ext cx="657937" cy="34278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600" b="1" u="sng"/>
            <a:t>STA 3</a:t>
          </a:r>
        </a:p>
      </xdr:txBody>
    </xdr:sp>
    <xdr:clientData/>
  </xdr:oneCellAnchor>
  <xdr:oneCellAnchor>
    <xdr:from>
      <xdr:col>9</xdr:col>
      <xdr:colOff>66675</xdr:colOff>
      <xdr:row>20</xdr:row>
      <xdr:rowOff>28575</xdr:rowOff>
    </xdr:from>
    <xdr:ext cx="657937" cy="342786"/>
    <xdr:sp macro="" textlink="">
      <xdr:nvSpPr>
        <xdr:cNvPr id="7" name="TextBox 6"/>
        <xdr:cNvSpPr txBox="1"/>
      </xdr:nvSpPr>
      <xdr:spPr>
        <a:xfrm>
          <a:off x="5553075" y="3876675"/>
          <a:ext cx="657937" cy="34278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600" b="1" u="sng"/>
            <a:t>STA 5</a:t>
          </a:r>
        </a:p>
      </xdr:txBody>
    </xdr:sp>
    <xdr:clientData/>
  </xdr:oneCellAnchor>
  <xdr:oneCellAnchor>
    <xdr:from>
      <xdr:col>11</xdr:col>
      <xdr:colOff>333375</xdr:colOff>
      <xdr:row>32</xdr:row>
      <xdr:rowOff>47625</xdr:rowOff>
    </xdr:from>
    <xdr:ext cx="657937" cy="342786"/>
    <xdr:sp macro="" textlink="">
      <xdr:nvSpPr>
        <xdr:cNvPr id="8" name="TextBox 7"/>
        <xdr:cNvSpPr txBox="1"/>
      </xdr:nvSpPr>
      <xdr:spPr>
        <a:xfrm>
          <a:off x="7038975" y="6181725"/>
          <a:ext cx="657937" cy="34278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600" b="1" u="sng"/>
            <a:t>STA 7</a:t>
          </a:r>
        </a:p>
      </xdr:txBody>
    </xdr:sp>
    <xdr:clientData/>
  </xdr:oneCellAnchor>
  <xdr:oneCellAnchor>
    <xdr:from>
      <xdr:col>16</xdr:col>
      <xdr:colOff>161925</xdr:colOff>
      <xdr:row>32</xdr:row>
      <xdr:rowOff>47625</xdr:rowOff>
    </xdr:from>
    <xdr:ext cx="657937" cy="342786"/>
    <xdr:sp macro="" textlink="">
      <xdr:nvSpPr>
        <xdr:cNvPr id="9" name="TextBox 8"/>
        <xdr:cNvSpPr txBox="1"/>
      </xdr:nvSpPr>
      <xdr:spPr>
        <a:xfrm>
          <a:off x="9915525" y="6181725"/>
          <a:ext cx="657937" cy="34278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600" b="1" u="sng"/>
            <a:t>STA 9</a:t>
          </a:r>
        </a:p>
      </xdr:txBody>
    </xdr:sp>
    <xdr:clientData/>
  </xdr:oneCellAnchor>
  <xdr:oneCellAnchor>
    <xdr:from>
      <xdr:col>1</xdr:col>
      <xdr:colOff>485775</xdr:colOff>
      <xdr:row>27</xdr:row>
      <xdr:rowOff>19050</xdr:rowOff>
    </xdr:from>
    <xdr:ext cx="657937" cy="342786"/>
    <xdr:sp macro="" textlink="">
      <xdr:nvSpPr>
        <xdr:cNvPr id="10" name="TextBox 9"/>
        <xdr:cNvSpPr txBox="1"/>
      </xdr:nvSpPr>
      <xdr:spPr>
        <a:xfrm>
          <a:off x="1095375" y="5200650"/>
          <a:ext cx="657937" cy="34278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600" b="1" u="sng"/>
            <a:t>STA 2</a:t>
          </a:r>
        </a:p>
      </xdr:txBody>
    </xdr:sp>
    <xdr:clientData/>
  </xdr:oneCellAnchor>
  <xdr:oneCellAnchor>
    <xdr:from>
      <xdr:col>6</xdr:col>
      <xdr:colOff>276225</xdr:colOff>
      <xdr:row>27</xdr:row>
      <xdr:rowOff>28575</xdr:rowOff>
    </xdr:from>
    <xdr:ext cx="657937" cy="342786"/>
    <xdr:sp macro="" textlink="">
      <xdr:nvSpPr>
        <xdr:cNvPr id="11" name="TextBox 10"/>
        <xdr:cNvSpPr txBox="1"/>
      </xdr:nvSpPr>
      <xdr:spPr>
        <a:xfrm>
          <a:off x="3933825" y="5210175"/>
          <a:ext cx="657937" cy="34278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600" b="1" u="sng"/>
            <a:t>STA 4</a:t>
          </a:r>
        </a:p>
      </xdr:txBody>
    </xdr:sp>
    <xdr:clientData/>
  </xdr:oneCellAnchor>
  <xdr:oneCellAnchor>
    <xdr:from>
      <xdr:col>11</xdr:col>
      <xdr:colOff>333375</xdr:colOff>
      <xdr:row>27</xdr:row>
      <xdr:rowOff>28575</xdr:rowOff>
    </xdr:from>
    <xdr:ext cx="657937" cy="342786"/>
    <xdr:sp macro="" textlink="">
      <xdr:nvSpPr>
        <xdr:cNvPr id="12" name="TextBox 11"/>
        <xdr:cNvSpPr txBox="1"/>
      </xdr:nvSpPr>
      <xdr:spPr>
        <a:xfrm>
          <a:off x="7038975" y="5210175"/>
          <a:ext cx="657937" cy="34278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600" b="1" u="sng"/>
            <a:t>STA 6</a:t>
          </a:r>
        </a:p>
      </xdr:txBody>
    </xdr:sp>
    <xdr:clientData/>
  </xdr:oneCellAnchor>
  <xdr:oneCellAnchor>
    <xdr:from>
      <xdr:col>16</xdr:col>
      <xdr:colOff>161925</xdr:colOff>
      <xdr:row>27</xdr:row>
      <xdr:rowOff>28575</xdr:rowOff>
    </xdr:from>
    <xdr:ext cx="657937" cy="342786"/>
    <xdr:sp macro="" textlink="">
      <xdr:nvSpPr>
        <xdr:cNvPr id="13" name="TextBox 12"/>
        <xdr:cNvSpPr txBox="1"/>
      </xdr:nvSpPr>
      <xdr:spPr>
        <a:xfrm>
          <a:off x="9915525" y="5210175"/>
          <a:ext cx="657937" cy="34278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600" b="1" u="sng"/>
            <a:t>STA 8</a:t>
          </a:r>
        </a:p>
      </xdr:txBody>
    </xdr:sp>
    <xdr:clientData/>
  </xdr:oneCellAnchor>
  <xdr:oneCellAnchor>
    <xdr:from>
      <xdr:col>10</xdr:col>
      <xdr:colOff>514350</xdr:colOff>
      <xdr:row>24</xdr:row>
      <xdr:rowOff>47625</xdr:rowOff>
    </xdr:from>
    <xdr:ext cx="773481" cy="342786"/>
    <xdr:sp macro="" textlink="">
      <xdr:nvSpPr>
        <xdr:cNvPr id="14" name="TextBox 13"/>
        <xdr:cNvSpPr txBox="1"/>
      </xdr:nvSpPr>
      <xdr:spPr>
        <a:xfrm>
          <a:off x="6610350" y="4657725"/>
          <a:ext cx="773481" cy="34278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600" b="1" u="sng"/>
            <a:t>STA 5R</a:t>
          </a:r>
        </a:p>
      </xdr:txBody>
    </xdr:sp>
    <xdr:clientData/>
  </xdr:oneCellAnchor>
  <xdr:oneCellAnchor>
    <xdr:from>
      <xdr:col>7</xdr:col>
      <xdr:colOff>66675</xdr:colOff>
      <xdr:row>24</xdr:row>
      <xdr:rowOff>47625</xdr:rowOff>
    </xdr:from>
    <xdr:ext cx="744691" cy="342786"/>
    <xdr:sp macro="" textlink="">
      <xdr:nvSpPr>
        <xdr:cNvPr id="15" name="TextBox 14"/>
        <xdr:cNvSpPr txBox="1"/>
      </xdr:nvSpPr>
      <xdr:spPr>
        <a:xfrm>
          <a:off x="4333875" y="4657725"/>
          <a:ext cx="744691" cy="34278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600" b="1" u="sng"/>
            <a:t>STA 5L</a:t>
          </a:r>
        </a:p>
      </xdr:txBody>
    </xdr:sp>
    <xdr:clientData/>
  </xdr:oneCellAnchor>
  <xdr:twoCellAnchor>
    <xdr:from>
      <xdr:col>4</xdr:col>
      <xdr:colOff>114300</xdr:colOff>
      <xdr:row>15</xdr:row>
      <xdr:rowOff>161925</xdr:rowOff>
    </xdr:from>
    <xdr:to>
      <xdr:col>4</xdr:col>
      <xdr:colOff>241300</xdr:colOff>
      <xdr:row>16</xdr:row>
      <xdr:rowOff>98425</xdr:rowOff>
    </xdr:to>
    <xdr:sp macro="" textlink="">
      <xdr:nvSpPr>
        <xdr:cNvPr id="33" name="Oval 32"/>
        <xdr:cNvSpPr/>
      </xdr:nvSpPr>
      <xdr:spPr>
        <a:xfrm>
          <a:off x="2552700" y="3019425"/>
          <a:ext cx="127000" cy="127000"/>
        </a:xfrm>
        <a:prstGeom prst="ellipse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4</xdr:col>
      <xdr:colOff>266700</xdr:colOff>
      <xdr:row>15</xdr:row>
      <xdr:rowOff>180975</xdr:rowOff>
    </xdr:from>
    <xdr:to>
      <xdr:col>4</xdr:col>
      <xdr:colOff>400050</xdr:colOff>
      <xdr:row>16</xdr:row>
      <xdr:rowOff>76200</xdr:rowOff>
    </xdr:to>
    <xdr:sp macro="" textlink="">
      <xdr:nvSpPr>
        <xdr:cNvPr id="38" name="Rectangle 37"/>
        <xdr:cNvSpPr/>
      </xdr:nvSpPr>
      <xdr:spPr>
        <a:xfrm>
          <a:off x="2705100" y="3038475"/>
          <a:ext cx="133350" cy="85725"/>
        </a:xfrm>
        <a:prstGeom prst="rect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5</xdr:col>
      <xdr:colOff>33337</xdr:colOff>
      <xdr:row>16</xdr:row>
      <xdr:rowOff>80963</xdr:rowOff>
    </xdr:from>
    <xdr:to>
      <xdr:col>5</xdr:col>
      <xdr:colOff>119062</xdr:colOff>
      <xdr:row>17</xdr:row>
      <xdr:rowOff>23813</xdr:rowOff>
    </xdr:to>
    <xdr:sp macro="" textlink="">
      <xdr:nvSpPr>
        <xdr:cNvPr id="39" name="Rectangle 38"/>
        <xdr:cNvSpPr/>
      </xdr:nvSpPr>
      <xdr:spPr>
        <a:xfrm rot="5400000">
          <a:off x="3057525" y="3152775"/>
          <a:ext cx="133350" cy="85725"/>
        </a:xfrm>
        <a:prstGeom prst="rect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6</xdr:col>
      <xdr:colOff>33337</xdr:colOff>
      <xdr:row>16</xdr:row>
      <xdr:rowOff>90489</xdr:rowOff>
    </xdr:from>
    <xdr:to>
      <xdr:col>6</xdr:col>
      <xdr:colOff>119062</xdr:colOff>
      <xdr:row>17</xdr:row>
      <xdr:rowOff>33339</xdr:rowOff>
    </xdr:to>
    <xdr:sp macro="" textlink="">
      <xdr:nvSpPr>
        <xdr:cNvPr id="40" name="Rectangle 39"/>
        <xdr:cNvSpPr/>
      </xdr:nvSpPr>
      <xdr:spPr>
        <a:xfrm rot="5400000">
          <a:off x="3667125" y="3162301"/>
          <a:ext cx="133350" cy="85725"/>
        </a:xfrm>
        <a:prstGeom prst="rect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7</xdr:col>
      <xdr:colOff>33337</xdr:colOff>
      <xdr:row>16</xdr:row>
      <xdr:rowOff>100015</xdr:rowOff>
    </xdr:from>
    <xdr:to>
      <xdr:col>7</xdr:col>
      <xdr:colOff>119062</xdr:colOff>
      <xdr:row>17</xdr:row>
      <xdr:rowOff>42865</xdr:rowOff>
    </xdr:to>
    <xdr:sp macro="" textlink="">
      <xdr:nvSpPr>
        <xdr:cNvPr id="41" name="Rectangle 40"/>
        <xdr:cNvSpPr/>
      </xdr:nvSpPr>
      <xdr:spPr>
        <a:xfrm rot="5400000">
          <a:off x="4276725" y="3171827"/>
          <a:ext cx="133350" cy="85725"/>
        </a:xfrm>
        <a:prstGeom prst="rect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14</xdr:col>
      <xdr:colOff>57152</xdr:colOff>
      <xdr:row>16</xdr:row>
      <xdr:rowOff>76200</xdr:rowOff>
    </xdr:from>
    <xdr:to>
      <xdr:col>14</xdr:col>
      <xdr:colOff>142877</xdr:colOff>
      <xdr:row>17</xdr:row>
      <xdr:rowOff>19050</xdr:rowOff>
    </xdr:to>
    <xdr:sp macro="" textlink="">
      <xdr:nvSpPr>
        <xdr:cNvPr id="42" name="Rectangle 41"/>
        <xdr:cNvSpPr/>
      </xdr:nvSpPr>
      <xdr:spPr>
        <a:xfrm rot="5400000">
          <a:off x="8567740" y="3148012"/>
          <a:ext cx="133350" cy="85725"/>
        </a:xfrm>
        <a:prstGeom prst="rect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13</xdr:col>
      <xdr:colOff>85727</xdr:colOff>
      <xdr:row>16</xdr:row>
      <xdr:rowOff>95251</xdr:rowOff>
    </xdr:from>
    <xdr:to>
      <xdr:col>13</xdr:col>
      <xdr:colOff>171452</xdr:colOff>
      <xdr:row>17</xdr:row>
      <xdr:rowOff>38101</xdr:rowOff>
    </xdr:to>
    <xdr:sp macro="" textlink="">
      <xdr:nvSpPr>
        <xdr:cNvPr id="43" name="Rectangle 42"/>
        <xdr:cNvSpPr/>
      </xdr:nvSpPr>
      <xdr:spPr>
        <a:xfrm rot="5400000">
          <a:off x="7986715" y="3167063"/>
          <a:ext cx="133350" cy="85725"/>
        </a:xfrm>
        <a:prstGeom prst="rect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12</xdr:col>
      <xdr:colOff>66677</xdr:colOff>
      <xdr:row>16</xdr:row>
      <xdr:rowOff>104777</xdr:rowOff>
    </xdr:from>
    <xdr:to>
      <xdr:col>12</xdr:col>
      <xdr:colOff>152402</xdr:colOff>
      <xdr:row>17</xdr:row>
      <xdr:rowOff>47627</xdr:rowOff>
    </xdr:to>
    <xdr:sp macro="" textlink="">
      <xdr:nvSpPr>
        <xdr:cNvPr id="44" name="Rectangle 43"/>
        <xdr:cNvSpPr/>
      </xdr:nvSpPr>
      <xdr:spPr>
        <a:xfrm rot="5400000">
          <a:off x="7358065" y="3176589"/>
          <a:ext cx="133350" cy="85725"/>
        </a:xfrm>
        <a:prstGeom prst="rect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9</xdr:col>
      <xdr:colOff>333377</xdr:colOff>
      <xdr:row>18</xdr:row>
      <xdr:rowOff>123827</xdr:rowOff>
    </xdr:from>
    <xdr:to>
      <xdr:col>9</xdr:col>
      <xdr:colOff>419102</xdr:colOff>
      <xdr:row>19</xdr:row>
      <xdr:rowOff>66677</xdr:rowOff>
    </xdr:to>
    <xdr:sp macro="" textlink="">
      <xdr:nvSpPr>
        <xdr:cNvPr id="45" name="Rectangle 44"/>
        <xdr:cNvSpPr/>
      </xdr:nvSpPr>
      <xdr:spPr>
        <a:xfrm rot="5400000">
          <a:off x="5795965" y="3576639"/>
          <a:ext cx="133350" cy="85725"/>
        </a:xfrm>
        <a:prstGeom prst="rect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5</xdr:col>
      <xdr:colOff>9525</xdr:colOff>
      <xdr:row>17</xdr:row>
      <xdr:rowOff>66675</xdr:rowOff>
    </xdr:from>
    <xdr:to>
      <xdr:col>5</xdr:col>
      <xdr:colOff>136525</xdr:colOff>
      <xdr:row>18</xdr:row>
      <xdr:rowOff>3175</xdr:rowOff>
    </xdr:to>
    <xdr:sp macro="" textlink="">
      <xdr:nvSpPr>
        <xdr:cNvPr id="48" name="Oval 47"/>
        <xdr:cNvSpPr/>
      </xdr:nvSpPr>
      <xdr:spPr>
        <a:xfrm>
          <a:off x="3057525" y="3343275"/>
          <a:ext cx="127000" cy="127000"/>
        </a:xfrm>
        <a:prstGeom prst="ellipse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6</xdr:col>
      <xdr:colOff>9525</xdr:colOff>
      <xdr:row>17</xdr:row>
      <xdr:rowOff>66675</xdr:rowOff>
    </xdr:from>
    <xdr:to>
      <xdr:col>6</xdr:col>
      <xdr:colOff>136525</xdr:colOff>
      <xdr:row>18</xdr:row>
      <xdr:rowOff>3175</xdr:rowOff>
    </xdr:to>
    <xdr:sp macro="" textlink="">
      <xdr:nvSpPr>
        <xdr:cNvPr id="49" name="Oval 48"/>
        <xdr:cNvSpPr/>
      </xdr:nvSpPr>
      <xdr:spPr>
        <a:xfrm>
          <a:off x="3667125" y="3305175"/>
          <a:ext cx="127000" cy="127000"/>
        </a:xfrm>
        <a:prstGeom prst="ellipse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7</xdr:col>
      <xdr:colOff>9525</xdr:colOff>
      <xdr:row>17</xdr:row>
      <xdr:rowOff>76200</xdr:rowOff>
    </xdr:from>
    <xdr:to>
      <xdr:col>7</xdr:col>
      <xdr:colOff>136525</xdr:colOff>
      <xdr:row>18</xdr:row>
      <xdr:rowOff>12700</xdr:rowOff>
    </xdr:to>
    <xdr:sp macro="" textlink="">
      <xdr:nvSpPr>
        <xdr:cNvPr id="50" name="Oval 49"/>
        <xdr:cNvSpPr/>
      </xdr:nvSpPr>
      <xdr:spPr>
        <a:xfrm>
          <a:off x="4276725" y="3314700"/>
          <a:ext cx="127000" cy="127000"/>
        </a:xfrm>
        <a:prstGeom prst="ellipse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8</xdr:col>
      <xdr:colOff>457200</xdr:colOff>
      <xdr:row>17</xdr:row>
      <xdr:rowOff>95250</xdr:rowOff>
    </xdr:from>
    <xdr:to>
      <xdr:col>8</xdr:col>
      <xdr:colOff>584200</xdr:colOff>
      <xdr:row>18</xdr:row>
      <xdr:rowOff>31750</xdr:rowOff>
    </xdr:to>
    <xdr:sp macro="" textlink="">
      <xdr:nvSpPr>
        <xdr:cNvPr id="51" name="Oval 50" hidden="1"/>
        <xdr:cNvSpPr/>
      </xdr:nvSpPr>
      <xdr:spPr>
        <a:xfrm>
          <a:off x="5334000" y="3333750"/>
          <a:ext cx="127000" cy="127000"/>
        </a:xfrm>
        <a:prstGeom prst="ellipse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9</xdr:col>
      <xdr:colOff>314325</xdr:colOff>
      <xdr:row>19</xdr:row>
      <xdr:rowOff>95250</xdr:rowOff>
    </xdr:from>
    <xdr:to>
      <xdr:col>9</xdr:col>
      <xdr:colOff>441325</xdr:colOff>
      <xdr:row>20</xdr:row>
      <xdr:rowOff>31750</xdr:rowOff>
    </xdr:to>
    <xdr:sp macro="" textlink="">
      <xdr:nvSpPr>
        <xdr:cNvPr id="52" name="Oval 51"/>
        <xdr:cNvSpPr/>
      </xdr:nvSpPr>
      <xdr:spPr>
        <a:xfrm>
          <a:off x="5800725" y="3714750"/>
          <a:ext cx="127000" cy="127000"/>
        </a:xfrm>
        <a:prstGeom prst="ellipse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10</xdr:col>
      <xdr:colOff>152400</xdr:colOff>
      <xdr:row>17</xdr:row>
      <xdr:rowOff>95250</xdr:rowOff>
    </xdr:from>
    <xdr:to>
      <xdr:col>10</xdr:col>
      <xdr:colOff>279400</xdr:colOff>
      <xdr:row>18</xdr:row>
      <xdr:rowOff>31750</xdr:rowOff>
    </xdr:to>
    <xdr:sp macro="" textlink="">
      <xdr:nvSpPr>
        <xdr:cNvPr id="53" name="Oval 52"/>
        <xdr:cNvSpPr/>
      </xdr:nvSpPr>
      <xdr:spPr>
        <a:xfrm>
          <a:off x="6248400" y="3333750"/>
          <a:ext cx="127000" cy="127000"/>
        </a:xfrm>
        <a:prstGeom prst="ellipse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12</xdr:col>
      <xdr:colOff>47625</xdr:colOff>
      <xdr:row>17</xdr:row>
      <xdr:rowOff>76200</xdr:rowOff>
    </xdr:from>
    <xdr:to>
      <xdr:col>12</xdr:col>
      <xdr:colOff>174625</xdr:colOff>
      <xdr:row>18</xdr:row>
      <xdr:rowOff>12700</xdr:rowOff>
    </xdr:to>
    <xdr:sp macro="" textlink="">
      <xdr:nvSpPr>
        <xdr:cNvPr id="54" name="Oval 53"/>
        <xdr:cNvSpPr/>
      </xdr:nvSpPr>
      <xdr:spPr>
        <a:xfrm>
          <a:off x="7362825" y="3314700"/>
          <a:ext cx="127000" cy="127000"/>
        </a:xfrm>
        <a:prstGeom prst="ellipse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13</xdr:col>
      <xdr:colOff>66675</xdr:colOff>
      <xdr:row>17</xdr:row>
      <xdr:rowOff>66675</xdr:rowOff>
    </xdr:from>
    <xdr:to>
      <xdr:col>13</xdr:col>
      <xdr:colOff>193675</xdr:colOff>
      <xdr:row>18</xdr:row>
      <xdr:rowOff>3175</xdr:rowOff>
    </xdr:to>
    <xdr:sp macro="" textlink="">
      <xdr:nvSpPr>
        <xdr:cNvPr id="55" name="Oval 54"/>
        <xdr:cNvSpPr/>
      </xdr:nvSpPr>
      <xdr:spPr>
        <a:xfrm>
          <a:off x="7991475" y="3305175"/>
          <a:ext cx="127000" cy="127000"/>
        </a:xfrm>
        <a:prstGeom prst="ellipse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14</xdr:col>
      <xdr:colOff>38100</xdr:colOff>
      <xdr:row>17</xdr:row>
      <xdr:rowOff>47625</xdr:rowOff>
    </xdr:from>
    <xdr:to>
      <xdr:col>14</xdr:col>
      <xdr:colOff>165100</xdr:colOff>
      <xdr:row>17</xdr:row>
      <xdr:rowOff>174625</xdr:rowOff>
    </xdr:to>
    <xdr:sp macro="" textlink="">
      <xdr:nvSpPr>
        <xdr:cNvPr id="56" name="Oval 55"/>
        <xdr:cNvSpPr/>
      </xdr:nvSpPr>
      <xdr:spPr>
        <a:xfrm>
          <a:off x="8572500" y="3286125"/>
          <a:ext cx="127000" cy="127000"/>
        </a:xfrm>
        <a:prstGeom prst="ellipse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14</xdr:col>
      <xdr:colOff>333375</xdr:colOff>
      <xdr:row>15</xdr:row>
      <xdr:rowOff>180975</xdr:rowOff>
    </xdr:from>
    <xdr:to>
      <xdr:col>14</xdr:col>
      <xdr:colOff>466725</xdr:colOff>
      <xdr:row>16</xdr:row>
      <xdr:rowOff>76200</xdr:rowOff>
    </xdr:to>
    <xdr:sp macro="" textlink="">
      <xdr:nvSpPr>
        <xdr:cNvPr id="57" name="Rectangle 56"/>
        <xdr:cNvSpPr/>
      </xdr:nvSpPr>
      <xdr:spPr>
        <a:xfrm>
          <a:off x="8867775" y="3038475"/>
          <a:ext cx="133350" cy="85725"/>
        </a:xfrm>
        <a:prstGeom prst="rect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14</xdr:col>
      <xdr:colOff>495300</xdr:colOff>
      <xdr:row>15</xdr:row>
      <xdr:rowOff>161925</xdr:rowOff>
    </xdr:from>
    <xdr:to>
      <xdr:col>15</xdr:col>
      <xdr:colOff>12700</xdr:colOff>
      <xdr:row>16</xdr:row>
      <xdr:rowOff>98425</xdr:rowOff>
    </xdr:to>
    <xdr:sp macro="" textlink="">
      <xdr:nvSpPr>
        <xdr:cNvPr id="59" name="Oval 58"/>
        <xdr:cNvSpPr/>
      </xdr:nvSpPr>
      <xdr:spPr>
        <a:xfrm>
          <a:off x="9029700" y="3019425"/>
          <a:ext cx="127000" cy="127000"/>
        </a:xfrm>
        <a:prstGeom prst="ellipse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15</xdr:col>
      <xdr:colOff>438150</xdr:colOff>
      <xdr:row>20</xdr:row>
      <xdr:rowOff>47625</xdr:rowOff>
    </xdr:from>
    <xdr:to>
      <xdr:col>19</xdr:col>
      <xdr:colOff>38101</xdr:colOff>
      <xdr:row>25</xdr:row>
      <xdr:rowOff>47625</xdr:rowOff>
    </xdr:to>
    <xdr:sp macro="" textlink="">
      <xdr:nvSpPr>
        <xdr:cNvPr id="35" name="Right Arrow 34"/>
        <xdr:cNvSpPr/>
      </xdr:nvSpPr>
      <xdr:spPr>
        <a:xfrm>
          <a:off x="9582150" y="3895725"/>
          <a:ext cx="2038351" cy="952500"/>
        </a:xfrm>
        <a:prstGeom prst="rightArrow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/>
            <a:t>SCROLL RIGHT FOR MANUAL STORES</a:t>
          </a:r>
        </a:p>
      </xdr:txBody>
    </xdr:sp>
    <xdr:clientData/>
  </xdr:twoCellAnchor>
  <xdr:twoCellAnchor>
    <xdr:from>
      <xdr:col>20</xdr:col>
      <xdr:colOff>152400</xdr:colOff>
      <xdr:row>21</xdr:row>
      <xdr:rowOff>142875</xdr:rowOff>
    </xdr:from>
    <xdr:to>
      <xdr:col>28</xdr:col>
      <xdr:colOff>533400</xdr:colOff>
      <xdr:row>24</xdr:row>
      <xdr:rowOff>180975</xdr:rowOff>
    </xdr:to>
    <xdr:sp macro="" textlink="">
      <xdr:nvSpPr>
        <xdr:cNvPr id="36" name="TextBox 35"/>
        <xdr:cNvSpPr txBox="1"/>
      </xdr:nvSpPr>
      <xdr:spPr>
        <a:xfrm>
          <a:off x="12344400" y="4181475"/>
          <a:ext cx="5257800" cy="609600"/>
        </a:xfrm>
        <a:prstGeom prst="rect">
          <a:avLst/>
        </a:prstGeom>
        <a:solidFill>
          <a:srgbClr val="FFFFFF"/>
        </a:solidFill>
        <a:ln w="9525" cmpd="sng">
          <a:solidFill>
            <a:srgbClr val="FFFFF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WARNING:</a:t>
          </a:r>
          <a:r>
            <a:rPr lang="en-US" sz="1100" baseline="0"/>
            <a:t>  CONFLICTS BETWEEN MANUAL STORES AND DROP DOWN STORES ARE NOT RESOLVED AUTOMATICALLY.  CONFIRM THE CONFIGURATION IS VALID BEFORE APPROVING FORM F.</a:t>
          </a:r>
          <a:endParaRPr lang="en-US" sz="1100"/>
        </a:p>
      </xdr:txBody>
    </xdr:sp>
    <xdr:clientData/>
  </xdr:twoCellAnchor>
  <xdr:twoCellAnchor>
    <xdr:from>
      <xdr:col>20</xdr:col>
      <xdr:colOff>142875</xdr:colOff>
      <xdr:row>25</xdr:row>
      <xdr:rowOff>104775</xdr:rowOff>
    </xdr:from>
    <xdr:to>
      <xdr:col>28</xdr:col>
      <xdr:colOff>523875</xdr:colOff>
      <xdr:row>28</xdr:row>
      <xdr:rowOff>0</xdr:rowOff>
    </xdr:to>
    <xdr:sp macro="" textlink="">
      <xdr:nvSpPr>
        <xdr:cNvPr id="61" name="TextBox 60"/>
        <xdr:cNvSpPr txBox="1"/>
      </xdr:nvSpPr>
      <xdr:spPr>
        <a:xfrm>
          <a:off x="12334875" y="4905375"/>
          <a:ext cx="5257800" cy="466725"/>
        </a:xfrm>
        <a:prstGeom prst="rect">
          <a:avLst/>
        </a:prstGeom>
        <a:solidFill>
          <a:srgbClr val="FFFFFF"/>
        </a:solidFill>
        <a:ln w="9525" cmpd="sng">
          <a:solidFill>
            <a:srgbClr val="FFFFF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NOTE:  CLICK BELOW OR ON</a:t>
          </a:r>
          <a:r>
            <a:rPr lang="en-US" sz="1100" baseline="0"/>
            <a:t> "VIEW FORM F" ON THE LEFT SIDE OF THE MAIN CONFIGURATOR PAGE TO UPDATE THE FORM F WITH MANUAL STORES</a:t>
          </a:r>
          <a:endParaRPr lang="en-US" sz="1100"/>
        </a:p>
      </xdr:txBody>
    </xdr:sp>
    <xdr:clientData/>
  </xdr:twoCellAnchor>
  <xdr:twoCellAnchor>
    <xdr:from>
      <xdr:col>3</xdr:col>
      <xdr:colOff>428625</xdr:colOff>
      <xdr:row>15</xdr:row>
      <xdr:rowOff>66675</xdr:rowOff>
    </xdr:from>
    <xdr:to>
      <xdr:col>4</xdr:col>
      <xdr:colOff>38100</xdr:colOff>
      <xdr:row>16</xdr:row>
      <xdr:rowOff>95250</xdr:rowOff>
    </xdr:to>
    <xdr:sp macro="" textlink="">
      <xdr:nvSpPr>
        <xdr:cNvPr id="37" name="5-Point Star 36" hidden="1"/>
        <xdr:cNvSpPr/>
      </xdr:nvSpPr>
      <xdr:spPr>
        <a:xfrm>
          <a:off x="2257425" y="2952750"/>
          <a:ext cx="219075" cy="219075"/>
        </a:xfrm>
        <a:prstGeom prst="star5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571500</xdr:colOff>
      <xdr:row>18</xdr:row>
      <xdr:rowOff>66675</xdr:rowOff>
    </xdr:from>
    <xdr:to>
      <xdr:col>5</xdr:col>
      <xdr:colOff>180975</xdr:colOff>
      <xdr:row>19</xdr:row>
      <xdr:rowOff>95250</xdr:rowOff>
    </xdr:to>
    <xdr:sp macro="" textlink="">
      <xdr:nvSpPr>
        <xdr:cNvPr id="46" name="5-Point Star 45" hidden="1"/>
        <xdr:cNvSpPr/>
      </xdr:nvSpPr>
      <xdr:spPr>
        <a:xfrm>
          <a:off x="3009900" y="3533775"/>
          <a:ext cx="219075" cy="219075"/>
        </a:xfrm>
        <a:prstGeom prst="star5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571500</xdr:colOff>
      <xdr:row>18</xdr:row>
      <xdr:rowOff>66675</xdr:rowOff>
    </xdr:from>
    <xdr:to>
      <xdr:col>6</xdr:col>
      <xdr:colOff>180975</xdr:colOff>
      <xdr:row>19</xdr:row>
      <xdr:rowOff>95250</xdr:rowOff>
    </xdr:to>
    <xdr:sp macro="" textlink="">
      <xdr:nvSpPr>
        <xdr:cNvPr id="47" name="5-Point Star 46" hidden="1"/>
        <xdr:cNvSpPr/>
      </xdr:nvSpPr>
      <xdr:spPr>
        <a:xfrm>
          <a:off x="3619500" y="3533775"/>
          <a:ext cx="219075" cy="219075"/>
        </a:xfrm>
        <a:prstGeom prst="star5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561975</xdr:colOff>
      <xdr:row>18</xdr:row>
      <xdr:rowOff>66675</xdr:rowOff>
    </xdr:from>
    <xdr:to>
      <xdr:col>7</xdr:col>
      <xdr:colOff>171450</xdr:colOff>
      <xdr:row>19</xdr:row>
      <xdr:rowOff>95250</xdr:rowOff>
    </xdr:to>
    <xdr:sp macro="" textlink="">
      <xdr:nvSpPr>
        <xdr:cNvPr id="58" name="5-Point Star 57" hidden="1"/>
        <xdr:cNvSpPr/>
      </xdr:nvSpPr>
      <xdr:spPr>
        <a:xfrm>
          <a:off x="4219575" y="3533775"/>
          <a:ext cx="219075" cy="219075"/>
        </a:xfrm>
        <a:prstGeom prst="star5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9525</xdr:colOff>
      <xdr:row>18</xdr:row>
      <xdr:rowOff>66675</xdr:rowOff>
    </xdr:from>
    <xdr:to>
      <xdr:col>12</xdr:col>
      <xdr:colOff>228600</xdr:colOff>
      <xdr:row>19</xdr:row>
      <xdr:rowOff>95250</xdr:rowOff>
    </xdr:to>
    <xdr:sp macro="" textlink="">
      <xdr:nvSpPr>
        <xdr:cNvPr id="60" name="5-Point Star 59" hidden="1"/>
        <xdr:cNvSpPr/>
      </xdr:nvSpPr>
      <xdr:spPr>
        <a:xfrm>
          <a:off x="7324725" y="3533775"/>
          <a:ext cx="219075" cy="219075"/>
        </a:xfrm>
        <a:prstGeom prst="star5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13</xdr:col>
      <xdr:colOff>28575</xdr:colOff>
      <xdr:row>18</xdr:row>
      <xdr:rowOff>66675</xdr:rowOff>
    </xdr:from>
    <xdr:to>
      <xdr:col>13</xdr:col>
      <xdr:colOff>247650</xdr:colOff>
      <xdr:row>19</xdr:row>
      <xdr:rowOff>95250</xdr:rowOff>
    </xdr:to>
    <xdr:sp macro="" textlink="">
      <xdr:nvSpPr>
        <xdr:cNvPr id="62" name="5-Point Star 61" hidden="1"/>
        <xdr:cNvSpPr/>
      </xdr:nvSpPr>
      <xdr:spPr>
        <a:xfrm>
          <a:off x="7953375" y="3533775"/>
          <a:ext cx="219075" cy="219075"/>
        </a:xfrm>
        <a:prstGeom prst="star5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13</xdr:col>
      <xdr:colOff>600075</xdr:colOff>
      <xdr:row>18</xdr:row>
      <xdr:rowOff>66675</xdr:rowOff>
    </xdr:from>
    <xdr:to>
      <xdr:col>14</xdr:col>
      <xdr:colOff>209550</xdr:colOff>
      <xdr:row>19</xdr:row>
      <xdr:rowOff>95250</xdr:rowOff>
    </xdr:to>
    <xdr:sp macro="" textlink="">
      <xdr:nvSpPr>
        <xdr:cNvPr id="63" name="5-Point Star 62" hidden="1"/>
        <xdr:cNvSpPr/>
      </xdr:nvSpPr>
      <xdr:spPr>
        <a:xfrm>
          <a:off x="8524875" y="3533775"/>
          <a:ext cx="219075" cy="219075"/>
        </a:xfrm>
        <a:prstGeom prst="star5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95250</xdr:colOff>
      <xdr:row>15</xdr:row>
      <xdr:rowOff>66675</xdr:rowOff>
    </xdr:from>
    <xdr:to>
      <xdr:col>15</xdr:col>
      <xdr:colOff>314325</xdr:colOff>
      <xdr:row>16</xdr:row>
      <xdr:rowOff>95250</xdr:rowOff>
    </xdr:to>
    <xdr:sp macro="" textlink="">
      <xdr:nvSpPr>
        <xdr:cNvPr id="64" name="5-Point Star 63" hidden="1"/>
        <xdr:cNvSpPr/>
      </xdr:nvSpPr>
      <xdr:spPr>
        <a:xfrm>
          <a:off x="9239250" y="2952750"/>
          <a:ext cx="219075" cy="219075"/>
        </a:xfrm>
        <a:prstGeom prst="star5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476250</xdr:colOff>
      <xdr:row>19</xdr:row>
      <xdr:rowOff>76200</xdr:rowOff>
    </xdr:from>
    <xdr:to>
      <xdr:col>10</xdr:col>
      <xdr:colOff>85725</xdr:colOff>
      <xdr:row>20</xdr:row>
      <xdr:rowOff>104775</xdr:rowOff>
    </xdr:to>
    <xdr:sp macro="" textlink="">
      <xdr:nvSpPr>
        <xdr:cNvPr id="65" name="5-Point Star 64" hidden="1"/>
        <xdr:cNvSpPr/>
      </xdr:nvSpPr>
      <xdr:spPr>
        <a:xfrm>
          <a:off x="5962650" y="3733800"/>
          <a:ext cx="219075" cy="219075"/>
        </a:xfrm>
        <a:prstGeom prst="star5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390525</xdr:colOff>
      <xdr:row>5</xdr:row>
      <xdr:rowOff>142875</xdr:rowOff>
    </xdr:from>
    <xdr:to>
      <xdr:col>5</xdr:col>
      <xdr:colOff>142875</xdr:colOff>
      <xdr:row>7</xdr:row>
      <xdr:rowOff>0</xdr:rowOff>
    </xdr:to>
    <xdr:sp macro="" textlink="">
      <xdr:nvSpPr>
        <xdr:cNvPr id="70" name="TextBox 69"/>
        <xdr:cNvSpPr txBox="1"/>
      </xdr:nvSpPr>
      <xdr:spPr>
        <a:xfrm>
          <a:off x="2219325" y="1095375"/>
          <a:ext cx="971550" cy="247650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AME</a:t>
          </a:r>
          <a:r>
            <a:rPr lang="en-US" sz="1100" baseline="0"/>
            <a:t> Loaded</a:t>
          </a:r>
          <a:endParaRPr lang="en-US" sz="1100"/>
        </a:p>
      </xdr:txBody>
    </xdr:sp>
    <xdr:clientData/>
  </xdr:twoCellAnchor>
  <xdr:twoCellAnchor>
    <xdr:from>
      <xdr:col>3</xdr:col>
      <xdr:colOff>390525</xdr:colOff>
      <xdr:row>7</xdr:row>
      <xdr:rowOff>152400</xdr:rowOff>
    </xdr:from>
    <xdr:to>
      <xdr:col>5</xdr:col>
      <xdr:colOff>142875</xdr:colOff>
      <xdr:row>9</xdr:row>
      <xdr:rowOff>9525</xdr:rowOff>
    </xdr:to>
    <xdr:sp macro="" textlink="">
      <xdr:nvSpPr>
        <xdr:cNvPr id="71" name="TextBox 70"/>
        <xdr:cNvSpPr txBox="1"/>
      </xdr:nvSpPr>
      <xdr:spPr>
        <a:xfrm>
          <a:off x="2219325" y="1495425"/>
          <a:ext cx="971550" cy="247650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Store </a:t>
          </a:r>
          <a:r>
            <a:rPr lang="en-US" sz="1100" baseline="0"/>
            <a:t>Loaded</a:t>
          </a:r>
          <a:endParaRPr lang="en-US" sz="1100"/>
        </a:p>
      </xdr:txBody>
    </xdr:sp>
    <xdr:clientData/>
  </xdr:twoCellAnchor>
  <xdr:twoCellAnchor>
    <xdr:from>
      <xdr:col>3</xdr:col>
      <xdr:colOff>400049</xdr:colOff>
      <xdr:row>9</xdr:row>
      <xdr:rowOff>161925</xdr:rowOff>
    </xdr:from>
    <xdr:to>
      <xdr:col>6</xdr:col>
      <xdr:colOff>47624</xdr:colOff>
      <xdr:row>11</xdr:row>
      <xdr:rowOff>19050</xdr:rowOff>
    </xdr:to>
    <xdr:sp macro="" textlink="">
      <xdr:nvSpPr>
        <xdr:cNvPr id="72" name="TextBox 71"/>
        <xdr:cNvSpPr txBox="1"/>
      </xdr:nvSpPr>
      <xdr:spPr>
        <a:xfrm>
          <a:off x="2228849" y="1895475"/>
          <a:ext cx="1476375" cy="247650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Manual Store </a:t>
          </a:r>
          <a:r>
            <a:rPr lang="en-US" sz="1100" baseline="0"/>
            <a:t>Loaded</a:t>
          </a:r>
          <a:endParaRPr lang="en-US" sz="1100"/>
        </a:p>
      </xdr:txBody>
    </xdr:sp>
    <xdr:clientData/>
  </xdr:twoCellAnchor>
  <xdr:oneCellAnchor>
    <xdr:from>
      <xdr:col>6</xdr:col>
      <xdr:colOff>257175</xdr:colOff>
      <xdr:row>6</xdr:row>
      <xdr:rowOff>142875</xdr:rowOff>
    </xdr:from>
    <xdr:ext cx="1026563" cy="609013"/>
    <xdr:sp macro="" textlink="">
      <xdr:nvSpPr>
        <xdr:cNvPr id="73" name="TextBox 72"/>
        <xdr:cNvSpPr txBox="1"/>
      </xdr:nvSpPr>
      <xdr:spPr>
        <a:xfrm>
          <a:off x="3914775" y="1295400"/>
          <a:ext cx="1026563" cy="60901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/>
            <a:t>R - Retained</a:t>
          </a:r>
        </a:p>
        <a:p>
          <a:r>
            <a:rPr lang="en-US" sz="1100"/>
            <a:t>J</a:t>
          </a:r>
          <a:r>
            <a:rPr lang="en-US" sz="1100" baseline="0"/>
            <a:t> - Jettisonable</a:t>
          </a:r>
        </a:p>
        <a:p>
          <a:r>
            <a:rPr lang="en-US" sz="1100" baseline="0"/>
            <a:t>E - Expendable</a:t>
          </a:r>
          <a:endParaRPr lang="en-US" sz="1100"/>
        </a:p>
      </xdr:txBody>
    </xdr:sp>
    <xdr:clientData/>
  </xdr:oneCellAnchor>
  <xdr:twoCellAnchor>
    <xdr:from>
      <xdr:col>3</xdr:col>
      <xdr:colOff>161925</xdr:colOff>
      <xdr:row>6</xdr:row>
      <xdr:rowOff>0</xdr:rowOff>
    </xdr:from>
    <xdr:to>
      <xdr:col>3</xdr:col>
      <xdr:colOff>247650</xdr:colOff>
      <xdr:row>6</xdr:row>
      <xdr:rowOff>142875</xdr:rowOff>
    </xdr:to>
    <xdr:sp macro="" textlink="">
      <xdr:nvSpPr>
        <xdr:cNvPr id="67" name="Rectangle 66"/>
        <xdr:cNvSpPr/>
      </xdr:nvSpPr>
      <xdr:spPr>
        <a:xfrm rot="5400000">
          <a:off x="1962150" y="1181100"/>
          <a:ext cx="142875" cy="85725"/>
        </a:xfrm>
        <a:prstGeom prst="rect">
          <a:avLst/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3</xdr:col>
      <xdr:colOff>142875</xdr:colOff>
      <xdr:row>7</xdr:row>
      <xdr:rowOff>184150</xdr:rowOff>
    </xdr:from>
    <xdr:to>
      <xdr:col>3</xdr:col>
      <xdr:colOff>269875</xdr:colOff>
      <xdr:row>8</xdr:row>
      <xdr:rowOff>120650</xdr:rowOff>
    </xdr:to>
    <xdr:sp macro="" textlink="">
      <xdr:nvSpPr>
        <xdr:cNvPr id="68" name="Oval 67"/>
        <xdr:cNvSpPr/>
      </xdr:nvSpPr>
      <xdr:spPr>
        <a:xfrm>
          <a:off x="1971675" y="1527175"/>
          <a:ext cx="127000" cy="127000"/>
        </a:xfrm>
        <a:prstGeom prst="ellipse">
          <a:avLst/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3</xdr:col>
      <xdr:colOff>104775</xdr:colOff>
      <xdr:row>9</xdr:row>
      <xdr:rowOff>152400</xdr:rowOff>
    </xdr:from>
    <xdr:to>
      <xdr:col>3</xdr:col>
      <xdr:colOff>323850</xdr:colOff>
      <xdr:row>10</xdr:row>
      <xdr:rowOff>171450</xdr:rowOff>
    </xdr:to>
    <xdr:sp macro="" textlink="">
      <xdr:nvSpPr>
        <xdr:cNvPr id="69" name="5-Point Star 68"/>
        <xdr:cNvSpPr/>
      </xdr:nvSpPr>
      <xdr:spPr>
        <a:xfrm>
          <a:off x="1933575" y="1885950"/>
          <a:ext cx="219075" cy="219075"/>
        </a:xfrm>
        <a:prstGeom prst="star5">
          <a:avLst/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33337</xdr:colOff>
      <xdr:row>16</xdr:row>
      <xdr:rowOff>52388</xdr:rowOff>
    </xdr:from>
    <xdr:to>
      <xdr:col>5</xdr:col>
      <xdr:colOff>119062</xdr:colOff>
      <xdr:row>16</xdr:row>
      <xdr:rowOff>195263</xdr:rowOff>
    </xdr:to>
    <xdr:sp macro="" textlink="">
      <xdr:nvSpPr>
        <xdr:cNvPr id="75" name="Rectangle 74"/>
        <xdr:cNvSpPr/>
      </xdr:nvSpPr>
      <xdr:spPr>
        <a:xfrm rot="5400000">
          <a:off x="3052762" y="3157538"/>
          <a:ext cx="142875" cy="85725"/>
        </a:xfrm>
        <a:prstGeom prst="rect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6</xdr:col>
      <xdr:colOff>33337</xdr:colOff>
      <xdr:row>16</xdr:row>
      <xdr:rowOff>61914</xdr:rowOff>
    </xdr:from>
    <xdr:to>
      <xdr:col>6</xdr:col>
      <xdr:colOff>119062</xdr:colOff>
      <xdr:row>17</xdr:row>
      <xdr:rowOff>4764</xdr:rowOff>
    </xdr:to>
    <xdr:sp macro="" textlink="">
      <xdr:nvSpPr>
        <xdr:cNvPr id="76" name="Rectangle 75"/>
        <xdr:cNvSpPr/>
      </xdr:nvSpPr>
      <xdr:spPr>
        <a:xfrm rot="5400000">
          <a:off x="3662362" y="3167064"/>
          <a:ext cx="142875" cy="85725"/>
        </a:xfrm>
        <a:prstGeom prst="rect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7</xdr:col>
      <xdr:colOff>33337</xdr:colOff>
      <xdr:row>16</xdr:row>
      <xdr:rowOff>71440</xdr:rowOff>
    </xdr:from>
    <xdr:to>
      <xdr:col>7</xdr:col>
      <xdr:colOff>119062</xdr:colOff>
      <xdr:row>17</xdr:row>
      <xdr:rowOff>14290</xdr:rowOff>
    </xdr:to>
    <xdr:sp macro="" textlink="">
      <xdr:nvSpPr>
        <xdr:cNvPr id="77" name="Rectangle 76" hidden="1"/>
        <xdr:cNvSpPr/>
      </xdr:nvSpPr>
      <xdr:spPr>
        <a:xfrm rot="5400000">
          <a:off x="4271962" y="3176590"/>
          <a:ext cx="142875" cy="85725"/>
        </a:xfrm>
        <a:prstGeom prst="rect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12</xdr:col>
      <xdr:colOff>66677</xdr:colOff>
      <xdr:row>16</xdr:row>
      <xdr:rowOff>76202</xdr:rowOff>
    </xdr:from>
    <xdr:to>
      <xdr:col>12</xdr:col>
      <xdr:colOff>152402</xdr:colOff>
      <xdr:row>17</xdr:row>
      <xdr:rowOff>19052</xdr:rowOff>
    </xdr:to>
    <xdr:sp macro="" textlink="">
      <xdr:nvSpPr>
        <xdr:cNvPr id="79" name="Rectangle 78" hidden="1"/>
        <xdr:cNvSpPr/>
      </xdr:nvSpPr>
      <xdr:spPr>
        <a:xfrm rot="5400000">
          <a:off x="7353302" y="3181352"/>
          <a:ext cx="142875" cy="85725"/>
        </a:xfrm>
        <a:prstGeom prst="rect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13</xdr:col>
      <xdr:colOff>85727</xdr:colOff>
      <xdr:row>16</xdr:row>
      <xdr:rowOff>66676</xdr:rowOff>
    </xdr:from>
    <xdr:to>
      <xdr:col>13</xdr:col>
      <xdr:colOff>171452</xdr:colOff>
      <xdr:row>17</xdr:row>
      <xdr:rowOff>9526</xdr:rowOff>
    </xdr:to>
    <xdr:sp macro="" textlink="">
      <xdr:nvSpPr>
        <xdr:cNvPr id="80" name="Rectangle 79"/>
        <xdr:cNvSpPr/>
      </xdr:nvSpPr>
      <xdr:spPr>
        <a:xfrm rot="5400000">
          <a:off x="7981952" y="3171826"/>
          <a:ext cx="142875" cy="85725"/>
        </a:xfrm>
        <a:prstGeom prst="rect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  <xdr:twoCellAnchor>
    <xdr:from>
      <xdr:col>14</xdr:col>
      <xdr:colOff>57152</xdr:colOff>
      <xdr:row>16</xdr:row>
      <xdr:rowOff>47625</xdr:rowOff>
    </xdr:from>
    <xdr:to>
      <xdr:col>14</xdr:col>
      <xdr:colOff>142877</xdr:colOff>
      <xdr:row>16</xdr:row>
      <xdr:rowOff>190500</xdr:rowOff>
    </xdr:to>
    <xdr:sp macro="" textlink="">
      <xdr:nvSpPr>
        <xdr:cNvPr id="81" name="Rectangle 80"/>
        <xdr:cNvSpPr/>
      </xdr:nvSpPr>
      <xdr:spPr>
        <a:xfrm rot="5400000">
          <a:off x="8562977" y="3152775"/>
          <a:ext cx="142875" cy="85725"/>
        </a:xfrm>
        <a:prstGeom prst="rect">
          <a:avLst/>
        </a:prstGeom>
        <a:solidFill>
          <a:srgbClr val="F79646"/>
        </a:solidFill>
        <a:ln>
          <a:solidFill>
            <a:srgbClr val="B66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Retained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329917</xdr:colOff>
      <xdr:row>1</xdr:row>
      <xdr:rowOff>282027</xdr:rowOff>
    </xdr:from>
    <xdr:to>
      <xdr:col>8</xdr:col>
      <xdr:colOff>239456</xdr:colOff>
      <xdr:row>3</xdr:row>
      <xdr:rowOff>58533</xdr:rowOff>
    </xdr:to>
    <xdr:sp macro="" textlink="">
      <xdr:nvSpPr>
        <xdr:cNvPr id="2" name="TextBox 1"/>
        <xdr:cNvSpPr txBox="1"/>
      </xdr:nvSpPr>
      <xdr:spPr>
        <a:xfrm>
          <a:off x="2846858" y="510840"/>
          <a:ext cx="516159" cy="223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r>
            <a:rPr lang="en-US" sz="800" b="1"/>
            <a:t>FROM</a:t>
          </a:r>
        </a:p>
      </xdr:txBody>
    </xdr:sp>
    <xdr:clientData/>
  </xdr:twoCellAnchor>
  <xdr:twoCellAnchor>
    <xdr:from>
      <xdr:col>11</xdr:col>
      <xdr:colOff>3</xdr:colOff>
      <xdr:row>3</xdr:row>
      <xdr:rowOff>101102</xdr:rowOff>
    </xdr:from>
    <xdr:to>
      <xdr:col>12</xdr:col>
      <xdr:colOff>10644</xdr:colOff>
      <xdr:row>5</xdr:row>
      <xdr:rowOff>10643</xdr:rowOff>
    </xdr:to>
    <xdr:sp macro="" textlink="">
      <xdr:nvSpPr>
        <xdr:cNvPr id="3" name="TextBox 2"/>
        <xdr:cNvSpPr txBox="1"/>
      </xdr:nvSpPr>
      <xdr:spPr>
        <a:xfrm>
          <a:off x="5108383" y="776898"/>
          <a:ext cx="457624" cy="1330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spcCol="548640" rtlCol="0" anchor="ctr"/>
        <a:lstStyle/>
        <a:p>
          <a:pPr algn="ctr"/>
          <a:r>
            <a:rPr lang="en-US" sz="400" b="0" cap="none" spc="0">
              <a:ln>
                <a:noFill/>
              </a:ln>
              <a:solidFill>
                <a:schemeClr val="tx1"/>
              </a:solidFill>
              <a:effectLst/>
            </a:rPr>
            <a:t>LONG.</a:t>
          </a:r>
        </a:p>
        <a:p>
          <a:pPr algn="ctr"/>
          <a:r>
            <a:rPr lang="en-US" sz="400" b="0" cap="none" spc="0">
              <a:ln>
                <a:noFill/>
              </a:ln>
              <a:solidFill>
                <a:schemeClr val="tx1"/>
              </a:solidFill>
              <a:effectLst/>
            </a:rPr>
            <a:t>MOM/100</a:t>
          </a:r>
        </a:p>
      </xdr:txBody>
    </xdr:sp>
    <xdr:clientData/>
  </xdr:twoCellAnchor>
  <xdr:twoCellAnchor>
    <xdr:from>
      <xdr:col>11</xdr:col>
      <xdr:colOff>423786</xdr:colOff>
      <xdr:row>3</xdr:row>
      <xdr:rowOff>99187</xdr:rowOff>
    </xdr:from>
    <xdr:to>
      <xdr:col>13</xdr:col>
      <xdr:colOff>24692</xdr:colOff>
      <xdr:row>5</xdr:row>
      <xdr:rowOff>8728</xdr:rowOff>
    </xdr:to>
    <xdr:sp macro="" textlink="">
      <xdr:nvSpPr>
        <xdr:cNvPr id="5" name="TextBox 4"/>
        <xdr:cNvSpPr txBox="1"/>
      </xdr:nvSpPr>
      <xdr:spPr>
        <a:xfrm>
          <a:off x="5532166" y="774983"/>
          <a:ext cx="457624" cy="1330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spcCol="548640" rtlCol="0" anchor="ctr"/>
        <a:lstStyle/>
        <a:p>
          <a:pPr algn="ctr"/>
          <a:r>
            <a:rPr lang="en-US" sz="400" b="0" cap="none" spc="0">
              <a:ln>
                <a:noFill/>
              </a:ln>
              <a:solidFill>
                <a:schemeClr val="tx1"/>
              </a:solidFill>
              <a:effectLst/>
            </a:rPr>
            <a:t>LAT.</a:t>
          </a:r>
        </a:p>
        <a:p>
          <a:pPr algn="ctr"/>
          <a:r>
            <a:rPr lang="en-US" sz="400" b="0" cap="none" spc="0">
              <a:ln>
                <a:noFill/>
              </a:ln>
              <a:solidFill>
                <a:schemeClr val="tx1"/>
              </a:solidFill>
              <a:effectLst/>
            </a:rPr>
            <a:t>MOM/100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2</xdr:row>
      <xdr:rowOff>76200</xdr:rowOff>
    </xdr:from>
    <xdr:to>
      <xdr:col>13</xdr:col>
      <xdr:colOff>171450</xdr:colOff>
      <xdr:row>23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47624</xdr:colOff>
      <xdr:row>4</xdr:row>
      <xdr:rowOff>123824</xdr:rowOff>
    </xdr:from>
    <xdr:to>
      <xdr:col>17</xdr:col>
      <xdr:colOff>304799</xdr:colOff>
      <xdr:row>29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38099</xdr:colOff>
      <xdr:row>30</xdr:row>
      <xdr:rowOff>85724</xdr:rowOff>
    </xdr:from>
    <xdr:to>
      <xdr:col>17</xdr:col>
      <xdr:colOff>295274</xdr:colOff>
      <xdr:row>58</xdr:row>
      <xdr:rowOff>133349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3.xml"/><Relationship Id="rId21" Type="http://schemas.openxmlformats.org/officeDocument/2006/relationships/control" Target="../activeX/activeX18.xml"/><Relationship Id="rId42" Type="http://schemas.openxmlformats.org/officeDocument/2006/relationships/control" Target="../activeX/activeX39.xml"/><Relationship Id="rId47" Type="http://schemas.openxmlformats.org/officeDocument/2006/relationships/control" Target="../activeX/activeX44.xml"/><Relationship Id="rId63" Type="http://schemas.openxmlformats.org/officeDocument/2006/relationships/ctrlProp" Target="../ctrlProps/ctrlProp41.xml"/><Relationship Id="rId68" Type="http://schemas.openxmlformats.org/officeDocument/2006/relationships/ctrlProp" Target="../ctrlProps/ctrlProp16.xml"/><Relationship Id="rId84" Type="http://schemas.openxmlformats.org/officeDocument/2006/relationships/ctrlProp" Target="../ctrlProps/ctrlProp36.xml"/><Relationship Id="rId89" Type="http://schemas.openxmlformats.org/officeDocument/2006/relationships/ctrlProp" Target="../ctrlProps/ctrlProp19.xml"/><Relationship Id="rId112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3.xml"/><Relationship Id="rId29" Type="http://schemas.openxmlformats.org/officeDocument/2006/relationships/control" Target="../activeX/activeX26.xml"/><Relationship Id="rId107" Type="http://schemas.openxmlformats.org/officeDocument/2006/relationships/ctrlProp" Target="../ctrlProps/ctrlProp47.xml"/><Relationship Id="rId11" Type="http://schemas.openxmlformats.org/officeDocument/2006/relationships/control" Target="../activeX/activeX8.xml"/><Relationship Id="rId24" Type="http://schemas.openxmlformats.org/officeDocument/2006/relationships/control" Target="../activeX/activeX21.xml"/><Relationship Id="rId32" Type="http://schemas.openxmlformats.org/officeDocument/2006/relationships/control" Target="../activeX/activeX29.xml"/><Relationship Id="rId37" Type="http://schemas.openxmlformats.org/officeDocument/2006/relationships/control" Target="../activeX/activeX34.xml"/><Relationship Id="rId40" Type="http://schemas.openxmlformats.org/officeDocument/2006/relationships/control" Target="../activeX/activeX37.xml"/><Relationship Id="rId45" Type="http://schemas.openxmlformats.org/officeDocument/2006/relationships/control" Target="../activeX/activeX42.xml"/><Relationship Id="rId53" Type="http://schemas.openxmlformats.org/officeDocument/2006/relationships/control" Target="../activeX/activeX50.xml"/><Relationship Id="rId66" Type="http://schemas.openxmlformats.org/officeDocument/2006/relationships/ctrlProp" Target="../ctrlProps/ctrlProp3.xml"/><Relationship Id="rId74" Type="http://schemas.openxmlformats.org/officeDocument/2006/relationships/ctrlProp" Target="../ctrlProps/ctrlProp11.xml"/><Relationship Id="rId79" Type="http://schemas.openxmlformats.org/officeDocument/2006/relationships/ctrlProp" Target="../ctrlProps/ctrlProp2.xml"/><Relationship Id="rId87" Type="http://schemas.openxmlformats.org/officeDocument/2006/relationships/ctrlProp" Target="../ctrlProps/ctrlProp6.xml"/><Relationship Id="rId102" Type="http://schemas.openxmlformats.org/officeDocument/2006/relationships/ctrlProp" Target="../ctrlProps/ctrlProp18.xml"/><Relationship Id="rId110" Type="http://schemas.openxmlformats.org/officeDocument/2006/relationships/ctrlProp" Target="../ctrlProps/ctrlProp42.xml"/><Relationship Id="rId5" Type="http://schemas.openxmlformats.org/officeDocument/2006/relationships/control" Target="../activeX/activeX2.xml"/><Relationship Id="rId61" Type="http://schemas.openxmlformats.org/officeDocument/2006/relationships/ctrlProp" Target="../ctrlProps/ctrlProp33.xml"/><Relationship Id="rId82" Type="http://schemas.openxmlformats.org/officeDocument/2006/relationships/ctrlProp" Target="../ctrlProps/ctrlProp28.xml"/><Relationship Id="rId90" Type="http://schemas.openxmlformats.org/officeDocument/2006/relationships/ctrlProp" Target="../ctrlProps/ctrlProp27.xml"/><Relationship Id="rId95" Type="http://schemas.openxmlformats.org/officeDocument/2006/relationships/ctrlProp" Target="../ctrlProps/ctrlProp10.xml"/><Relationship Id="rId19" Type="http://schemas.openxmlformats.org/officeDocument/2006/relationships/control" Target="../activeX/activeX16.xml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9.xml"/><Relationship Id="rId27" Type="http://schemas.openxmlformats.org/officeDocument/2006/relationships/control" Target="../activeX/activeX24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Relationship Id="rId43" Type="http://schemas.openxmlformats.org/officeDocument/2006/relationships/control" Target="../activeX/activeX40.xml"/><Relationship Id="rId48" Type="http://schemas.openxmlformats.org/officeDocument/2006/relationships/control" Target="../activeX/activeX45.xml"/><Relationship Id="rId64" Type="http://schemas.openxmlformats.org/officeDocument/2006/relationships/ctrlProp" Target="../ctrlProps/ctrlProp46.xml"/><Relationship Id="rId69" Type="http://schemas.openxmlformats.org/officeDocument/2006/relationships/ctrlProp" Target="../ctrlProps/ctrlProp24.xml"/><Relationship Id="rId77" Type="http://schemas.openxmlformats.org/officeDocument/2006/relationships/ctrlProp" Target="../ctrlProps/ctrlProp45.xml"/><Relationship Id="rId100" Type="http://schemas.openxmlformats.org/officeDocument/2006/relationships/ctrlProp" Target="../ctrlProps/ctrlProp5.xml"/><Relationship Id="rId105" Type="http://schemas.openxmlformats.org/officeDocument/2006/relationships/ctrlProp" Target="../ctrlProps/ctrlProp34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48.xml"/><Relationship Id="rId72" Type="http://schemas.openxmlformats.org/officeDocument/2006/relationships/ctrlProp" Target="../ctrlProps/ctrlProp50.xml"/><Relationship Id="rId80" Type="http://schemas.openxmlformats.org/officeDocument/2006/relationships/ctrlProp" Target="../ctrlProps/ctrlProp15.xml"/><Relationship Id="rId85" Type="http://schemas.openxmlformats.org/officeDocument/2006/relationships/ctrlProp" Target="../ctrlProps/ctrlProp44.xml"/><Relationship Id="rId93" Type="http://schemas.openxmlformats.org/officeDocument/2006/relationships/ctrlProp" Target="../ctrlProps/ctrlProp52.xml"/><Relationship Id="rId98" Type="http://schemas.openxmlformats.org/officeDocument/2006/relationships/ctrlProp" Target="../ctrlProps/ctrlProp4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25" Type="http://schemas.openxmlformats.org/officeDocument/2006/relationships/control" Target="../activeX/activeX22.xml"/><Relationship Id="rId33" Type="http://schemas.openxmlformats.org/officeDocument/2006/relationships/control" Target="../activeX/activeX30.xml"/><Relationship Id="rId38" Type="http://schemas.openxmlformats.org/officeDocument/2006/relationships/control" Target="../activeX/activeX35.xml"/><Relationship Id="rId46" Type="http://schemas.openxmlformats.org/officeDocument/2006/relationships/control" Target="../activeX/activeX43.xml"/><Relationship Id="rId108" Type="http://schemas.openxmlformats.org/officeDocument/2006/relationships/ctrlProp" Target="../ctrlProps/ctrlProp30.xml"/><Relationship Id="rId59" Type="http://schemas.openxmlformats.org/officeDocument/2006/relationships/ctrlProp" Target="../ctrlProps/ctrlProp12.xml"/><Relationship Id="rId67" Type="http://schemas.openxmlformats.org/officeDocument/2006/relationships/ctrlProp" Target="../ctrlProps/ctrlProp8.xml"/><Relationship Id="rId103" Type="http://schemas.openxmlformats.org/officeDocument/2006/relationships/ctrlProp" Target="../ctrlProps/ctrlProp21.xml"/><Relationship Id="rId20" Type="http://schemas.openxmlformats.org/officeDocument/2006/relationships/control" Target="../activeX/activeX17.xml"/><Relationship Id="rId41" Type="http://schemas.openxmlformats.org/officeDocument/2006/relationships/control" Target="../activeX/activeX38.xml"/><Relationship Id="rId54" Type="http://schemas.openxmlformats.org/officeDocument/2006/relationships/control" Target="../activeX/activeX51.xml"/><Relationship Id="rId62" Type="http://schemas.openxmlformats.org/officeDocument/2006/relationships/ctrlProp" Target="../ctrlProps/ctrlProp38.xml"/><Relationship Id="rId70" Type="http://schemas.openxmlformats.org/officeDocument/2006/relationships/ctrlProp" Target="../ctrlProps/ctrlProp29.xml"/><Relationship Id="rId75" Type="http://schemas.openxmlformats.org/officeDocument/2006/relationships/ctrlProp" Target="../ctrlProps/ctrlProp20.xml"/><Relationship Id="rId83" Type="http://schemas.openxmlformats.org/officeDocument/2006/relationships/ctrlProp" Target="../ctrlProps/ctrlProp31.xml"/><Relationship Id="rId88" Type="http://schemas.openxmlformats.org/officeDocument/2006/relationships/ctrlProp" Target="../ctrlProps/ctrlProp14.xml"/><Relationship Id="rId91" Type="http://schemas.openxmlformats.org/officeDocument/2006/relationships/ctrlProp" Target="../ctrlProps/ctrlProp40.xml"/><Relationship Id="rId96" Type="http://schemas.openxmlformats.org/officeDocument/2006/relationships/ctrlProp" Target="../ctrlProps/ctrlProp22.xml"/><Relationship Id="rId111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5" Type="http://schemas.openxmlformats.org/officeDocument/2006/relationships/control" Target="../activeX/activeX12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36" Type="http://schemas.openxmlformats.org/officeDocument/2006/relationships/control" Target="../activeX/activeX33.xml"/><Relationship Id="rId49" Type="http://schemas.openxmlformats.org/officeDocument/2006/relationships/control" Target="../activeX/activeX46.xml"/><Relationship Id="rId106" Type="http://schemas.openxmlformats.org/officeDocument/2006/relationships/ctrlProp" Target="../ctrlProps/ctrlProp39.xml"/><Relationship Id="rId10" Type="http://schemas.openxmlformats.org/officeDocument/2006/relationships/control" Target="../activeX/activeX7.xml"/><Relationship Id="rId31" Type="http://schemas.openxmlformats.org/officeDocument/2006/relationships/control" Target="../activeX/activeX28.xml"/><Relationship Id="rId44" Type="http://schemas.openxmlformats.org/officeDocument/2006/relationships/control" Target="../activeX/activeX41.xml"/><Relationship Id="rId52" Type="http://schemas.openxmlformats.org/officeDocument/2006/relationships/control" Target="../activeX/activeX49.xml"/><Relationship Id="rId60" Type="http://schemas.openxmlformats.org/officeDocument/2006/relationships/ctrlProp" Target="../ctrlProps/ctrlProp25.xml"/><Relationship Id="rId65" Type="http://schemas.openxmlformats.org/officeDocument/2006/relationships/ctrlProp" Target="../ctrlProps/ctrlProp54.xml"/><Relationship Id="rId73" Type="http://schemas.openxmlformats.org/officeDocument/2006/relationships/ctrlProp" Target="../ctrlProps/ctrlProp7.xml"/><Relationship Id="rId78" Type="http://schemas.openxmlformats.org/officeDocument/2006/relationships/ctrlProp" Target="../ctrlProps/ctrlProp53.xml"/><Relationship Id="rId81" Type="http://schemas.openxmlformats.org/officeDocument/2006/relationships/ctrlProp" Target="../ctrlProps/ctrlProp23.xml"/><Relationship Id="rId86" Type="http://schemas.openxmlformats.org/officeDocument/2006/relationships/ctrlProp" Target="../ctrlProps/ctrlProp49.xml"/><Relationship Id="rId94" Type="http://schemas.openxmlformats.org/officeDocument/2006/relationships/ctrlProp" Target="../ctrlProps/ctrlProp1.xml"/><Relationship Id="rId99" Type="http://schemas.openxmlformats.org/officeDocument/2006/relationships/ctrlProp" Target="../ctrlProps/ctrlProp51.xml"/><Relationship Id="rId101" Type="http://schemas.openxmlformats.org/officeDocument/2006/relationships/ctrlProp" Target="../ctrlProps/ctrlProp13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9" Type="http://schemas.openxmlformats.org/officeDocument/2006/relationships/control" Target="../activeX/activeX36.xml"/><Relationship Id="rId109" Type="http://schemas.openxmlformats.org/officeDocument/2006/relationships/ctrlProp" Target="../ctrlProps/ctrlProp9.xml"/><Relationship Id="rId34" Type="http://schemas.openxmlformats.org/officeDocument/2006/relationships/control" Target="../activeX/activeX31.xml"/><Relationship Id="rId50" Type="http://schemas.openxmlformats.org/officeDocument/2006/relationships/control" Target="../activeX/activeX47.xml"/><Relationship Id="rId55" Type="http://schemas.openxmlformats.org/officeDocument/2006/relationships/control" Target="../activeX/activeX52.xml"/><Relationship Id="rId76" Type="http://schemas.openxmlformats.org/officeDocument/2006/relationships/ctrlProp" Target="../ctrlProps/ctrlProp32.xml"/><Relationship Id="rId97" Type="http://schemas.openxmlformats.org/officeDocument/2006/relationships/ctrlProp" Target="../ctrlProps/ctrlProp35.xml"/><Relationship Id="rId104" Type="http://schemas.openxmlformats.org/officeDocument/2006/relationships/ctrlProp" Target="../ctrlProps/ctrlProp26.xml"/><Relationship Id="rId7" Type="http://schemas.openxmlformats.org/officeDocument/2006/relationships/control" Target="../activeX/activeX4.xml"/><Relationship Id="rId71" Type="http://schemas.openxmlformats.org/officeDocument/2006/relationships/ctrlProp" Target="../ctrlProps/ctrlProp37.xml"/><Relationship Id="rId92" Type="http://schemas.openxmlformats.org/officeDocument/2006/relationships/ctrlProp" Target="../ctrlProps/ctrlProp4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3:S66"/>
  <sheetViews>
    <sheetView showGridLines="0" showRowColHeaders="0" tabSelected="1" zoomScaleNormal="100" zoomScaleSheetLayoutView="90" workbookViewId="0">
      <selection activeCell="B6" sqref="B6"/>
    </sheetView>
  </sheetViews>
  <sheetFormatPr defaultRowHeight="15"/>
  <sheetData>
    <row r="3" spans="10:19">
      <c r="J3" s="129" t="s">
        <v>742</v>
      </c>
      <c r="L3" s="128" t="s">
        <v>743</v>
      </c>
      <c r="N3" s="129">
        <v>0</v>
      </c>
    </row>
    <row r="4" spans="10:19">
      <c r="P4" s="158"/>
      <c r="Q4" s="159"/>
    </row>
    <row r="6" spans="10:19" ht="15.75" thickBot="1"/>
    <row r="7" spans="10:19">
      <c r="Q7" s="189" t="s">
        <v>278</v>
      </c>
      <c r="R7" s="190"/>
      <c r="S7" s="173">
        <f>'Form F'!K54</f>
        <v>40061</v>
      </c>
    </row>
    <row r="8" spans="10:19">
      <c r="Q8" s="191" t="s">
        <v>279</v>
      </c>
      <c r="R8" s="192"/>
      <c r="S8" s="174">
        <f>'Form F'!K58</f>
        <v>39338</v>
      </c>
    </row>
    <row r="9" spans="10:19" ht="15.75" thickBot="1">
      <c r="Q9" s="193" t="s">
        <v>280</v>
      </c>
      <c r="R9" s="194"/>
      <c r="S9" s="175">
        <f>'Form F'!K64</f>
        <v>28069</v>
      </c>
    </row>
    <row r="10" spans="10:19" ht="15.75" thickBot="1">
      <c r="Q10" s="195"/>
      <c r="R10" s="195"/>
    </row>
    <row r="11" spans="10:19">
      <c r="Q11" s="424" t="s">
        <v>64</v>
      </c>
      <c r="R11" s="425"/>
      <c r="S11" s="206">
        <f>'Form F'!$K$54</f>
        <v>40061</v>
      </c>
    </row>
    <row r="12" spans="10:19">
      <c r="Q12" s="415" t="s">
        <v>65</v>
      </c>
      <c r="R12" s="416"/>
      <c r="S12" s="207">
        <f>'Form F'!$L$55</f>
        <v>0.36252788610296283</v>
      </c>
    </row>
    <row r="13" spans="10:19">
      <c r="Q13" s="415" t="s">
        <v>66</v>
      </c>
      <c r="R13" s="416"/>
      <c r="S13" s="207">
        <f>'Form F'!$L$59</f>
        <v>0.35889059731399159</v>
      </c>
    </row>
    <row r="14" spans="10:19">
      <c r="Q14" s="415" t="s">
        <v>67</v>
      </c>
      <c r="R14" s="416"/>
      <c r="S14" s="207">
        <f>'Form F'!$L$65</f>
        <v>0.37498315583451358</v>
      </c>
    </row>
    <row r="15" spans="10:19">
      <c r="Q15" s="415" t="s">
        <v>68</v>
      </c>
      <c r="R15" s="416"/>
      <c r="S15" s="207">
        <f>'Form F'!$L$70</f>
        <v>0.33895794141986002</v>
      </c>
    </row>
    <row r="16" spans="10:19">
      <c r="Q16" s="415" t="s">
        <v>69</v>
      </c>
      <c r="R16" s="416"/>
      <c r="S16" s="207">
        <f>'Form F'!$L$71</f>
        <v>0.3931553950690243</v>
      </c>
    </row>
    <row r="17" spans="17:19" ht="15.75" thickBot="1">
      <c r="Q17" s="417" t="s">
        <v>281</v>
      </c>
      <c r="R17" s="418"/>
      <c r="S17" s="208">
        <f>ABS('Form F'!$M$54)</f>
        <v>137.40275499999984</v>
      </c>
    </row>
    <row r="43" spans="1:19" ht="15.75" thickBot="1">
      <c r="A43" s="412" t="s">
        <v>291</v>
      </c>
      <c r="B43" s="414"/>
      <c r="C43" s="414"/>
      <c r="D43" s="414"/>
      <c r="E43" s="414"/>
      <c r="F43" s="414"/>
      <c r="G43" s="414"/>
      <c r="H43" s="414"/>
      <c r="I43" s="414"/>
      <c r="J43" s="414"/>
      <c r="K43" s="414"/>
      <c r="L43" s="414"/>
      <c r="M43" s="414"/>
      <c r="N43" s="414"/>
      <c r="O43" s="414"/>
      <c r="P43" s="414"/>
      <c r="Q43" s="414"/>
      <c r="R43" s="414"/>
      <c r="S43" s="413"/>
    </row>
    <row r="44" spans="1:19">
      <c r="A44" s="199" t="s">
        <v>65</v>
      </c>
      <c r="B44" s="200"/>
      <c r="C44" s="419" t="s">
        <v>65</v>
      </c>
      <c r="D44" s="420"/>
      <c r="E44" s="421"/>
      <c r="F44" s="419" t="s">
        <v>66</v>
      </c>
      <c r="G44" s="420"/>
      <c r="H44" s="421"/>
      <c r="I44" s="419" t="s">
        <v>67</v>
      </c>
      <c r="J44" s="420"/>
      <c r="K44" s="421"/>
      <c r="L44" s="419" t="s">
        <v>68</v>
      </c>
      <c r="M44" s="420"/>
      <c r="N44" s="421"/>
      <c r="O44" s="419" t="s">
        <v>69</v>
      </c>
      <c r="P44" s="420"/>
      <c r="Q44" s="421"/>
      <c r="R44" s="422" t="s">
        <v>281</v>
      </c>
      <c r="S44" s="423"/>
    </row>
    <row r="45" spans="1:19" ht="15.75" thickBot="1">
      <c r="A45" s="197" t="s">
        <v>252</v>
      </c>
      <c r="B45" s="197" t="s">
        <v>290</v>
      </c>
      <c r="C45" s="196" t="s">
        <v>288</v>
      </c>
      <c r="D45" s="197" t="s">
        <v>252</v>
      </c>
      <c r="E45" s="198" t="s">
        <v>289</v>
      </c>
      <c r="F45" s="196" t="s">
        <v>288</v>
      </c>
      <c r="G45" s="197" t="s">
        <v>252</v>
      </c>
      <c r="H45" s="198" t="s">
        <v>289</v>
      </c>
      <c r="I45" s="196" t="s">
        <v>288</v>
      </c>
      <c r="J45" s="197" t="s">
        <v>252</v>
      </c>
      <c r="K45" s="198" t="s">
        <v>289</v>
      </c>
      <c r="L45" s="196" t="s">
        <v>288</v>
      </c>
      <c r="M45" s="197" t="s">
        <v>252</v>
      </c>
      <c r="N45" s="198"/>
      <c r="O45" s="196" t="s">
        <v>289</v>
      </c>
      <c r="P45" s="197" t="s">
        <v>252</v>
      </c>
      <c r="Q45" s="198"/>
      <c r="R45" s="196" t="s">
        <v>252</v>
      </c>
      <c r="S45" s="198" t="s">
        <v>290</v>
      </c>
    </row>
    <row r="46" spans="1:19" ht="15.75" thickBot="1">
      <c r="A46" s="201">
        <f>'Form F'!$K$54</f>
        <v>40061</v>
      </c>
      <c r="B46" s="202">
        <f>Calculations!L3</f>
        <v>42300</v>
      </c>
      <c r="C46" s="201">
        <f>Calculations!V3</f>
        <v>0.32</v>
      </c>
      <c r="D46" s="203">
        <f>'Form F'!$L$55</f>
        <v>0.36252788610296283</v>
      </c>
      <c r="E46" s="202">
        <f>Calculations!W3</f>
        <v>0.42499999999999999</v>
      </c>
      <c r="F46" s="201">
        <f>Calculations!X3</f>
        <v>0.25</v>
      </c>
      <c r="G46" s="203">
        <f>'Form F'!$L$59</f>
        <v>0.35889059731399159</v>
      </c>
      <c r="H46" s="202">
        <f>Calculations!Y3</f>
        <v>0.41</v>
      </c>
      <c r="I46" s="201">
        <f>Calculations!X3</f>
        <v>0.25</v>
      </c>
      <c r="J46" s="203">
        <f>'Form F'!$L$65</f>
        <v>0.37498315583451358</v>
      </c>
      <c r="K46" s="202">
        <f>IF(Calculations!Q3=3, VLOOKUP(Calculations!U6,Aircraft!Q2:V17,3),Calculations!W3)</f>
        <v>0.42499999999999999</v>
      </c>
      <c r="L46" s="201">
        <f>MAX(Calculations!BV5,Calculations!X9)</f>
        <v>0.25700000000000001</v>
      </c>
      <c r="M46" s="203">
        <f>'Form F'!L70</f>
        <v>0.33895794141986002</v>
      </c>
      <c r="N46" s="202"/>
      <c r="O46" s="201">
        <f>IF(Calculations!Y6, Calculations!Y11,MIN(Calculations!W11,Calculations!BW5))</f>
        <v>0.41</v>
      </c>
      <c r="P46" s="203">
        <f>'Form F'!L71</f>
        <v>0.3931553950690243</v>
      </c>
      <c r="Q46" s="202"/>
      <c r="R46" s="201">
        <f>ABS('Form F'!$M$54)</f>
        <v>137.40275499999984</v>
      </c>
      <c r="S46" s="202">
        <f>Calculations!N3</f>
        <v>3002</v>
      </c>
    </row>
    <row r="49" spans="1:6" ht="15.75" thickBot="1">
      <c r="B49" s="292"/>
      <c r="C49" s="292"/>
      <c r="D49" s="292"/>
      <c r="E49" s="292"/>
    </row>
    <row r="50" spans="1:6" ht="15.75" thickBot="1">
      <c r="A50" s="412" t="s">
        <v>314</v>
      </c>
      <c r="B50" s="414"/>
      <c r="C50" s="414"/>
      <c r="D50" s="414"/>
      <c r="E50" s="414"/>
      <c r="F50" s="413"/>
    </row>
    <row r="51" spans="1:6" ht="15.75" thickBot="1">
      <c r="A51" s="256" t="s">
        <v>2</v>
      </c>
      <c r="B51" s="257" t="s">
        <v>4</v>
      </c>
      <c r="C51" s="257" t="s">
        <v>315</v>
      </c>
      <c r="D51" s="257" t="s">
        <v>316</v>
      </c>
      <c r="E51" s="257" t="s">
        <v>3</v>
      </c>
      <c r="F51" s="293" t="s">
        <v>318</v>
      </c>
    </row>
    <row r="52" spans="1:6">
      <c r="A52" s="294"/>
      <c r="B52" s="295"/>
      <c r="C52" s="295"/>
      <c r="D52" s="295"/>
      <c r="E52" s="295">
        <v>1</v>
      </c>
      <c r="F52" s="296">
        <v>1</v>
      </c>
    </row>
    <row r="53" spans="1:6">
      <c r="A53" s="297"/>
      <c r="B53" s="298"/>
      <c r="C53" s="298"/>
      <c r="D53" s="298"/>
      <c r="E53" s="298">
        <v>1</v>
      </c>
      <c r="F53" s="296">
        <v>1</v>
      </c>
    </row>
    <row r="54" spans="1:6">
      <c r="A54" s="297"/>
      <c r="B54" s="298"/>
      <c r="C54" s="298"/>
      <c r="D54" s="298"/>
      <c r="E54" s="298">
        <v>1</v>
      </c>
      <c r="F54" s="296">
        <v>1</v>
      </c>
    </row>
    <row r="55" spans="1:6">
      <c r="A55" s="297"/>
      <c r="B55" s="298"/>
      <c r="C55" s="298"/>
      <c r="D55" s="298"/>
      <c r="E55" s="298">
        <v>1</v>
      </c>
      <c r="F55" s="296">
        <v>1</v>
      </c>
    </row>
    <row r="56" spans="1:6">
      <c r="A56" s="297"/>
      <c r="B56" s="298"/>
      <c r="C56" s="298"/>
      <c r="D56" s="298"/>
      <c r="E56" s="298">
        <v>1</v>
      </c>
      <c r="F56" s="296">
        <v>1</v>
      </c>
    </row>
    <row r="57" spans="1:6">
      <c r="A57" s="297"/>
      <c r="B57" s="298"/>
      <c r="C57" s="298"/>
      <c r="D57" s="298"/>
      <c r="E57" s="298">
        <v>1</v>
      </c>
      <c r="F57" s="296">
        <v>1</v>
      </c>
    </row>
    <row r="58" spans="1:6">
      <c r="A58" s="297"/>
      <c r="B58" s="298"/>
      <c r="C58" s="298"/>
      <c r="D58" s="298"/>
      <c r="E58" s="298">
        <v>1</v>
      </c>
      <c r="F58" s="296">
        <v>1</v>
      </c>
    </row>
    <row r="59" spans="1:6">
      <c r="A59" s="297"/>
      <c r="B59" s="298"/>
      <c r="C59" s="298"/>
      <c r="D59" s="298"/>
      <c r="E59" s="298">
        <v>1</v>
      </c>
      <c r="F59" s="296">
        <v>1</v>
      </c>
    </row>
    <row r="60" spans="1:6">
      <c r="A60" s="297"/>
      <c r="B60" s="298"/>
      <c r="C60" s="298"/>
      <c r="D60" s="298"/>
      <c r="E60" s="298">
        <v>1</v>
      </c>
      <c r="F60" s="296">
        <v>1</v>
      </c>
    </row>
    <row r="61" spans="1:6">
      <c r="A61" s="297"/>
      <c r="B61" s="298"/>
      <c r="C61" s="298"/>
      <c r="D61" s="298"/>
      <c r="E61" s="298">
        <v>1</v>
      </c>
      <c r="F61" s="296">
        <v>1</v>
      </c>
    </row>
    <row r="62" spans="1:6">
      <c r="A62" s="297"/>
      <c r="B62" s="298"/>
      <c r="C62" s="298"/>
      <c r="D62" s="298"/>
      <c r="E62" s="298">
        <v>1</v>
      </c>
      <c r="F62" s="296">
        <v>1</v>
      </c>
    </row>
    <row r="63" spans="1:6" ht="15.75" thickBot="1">
      <c r="A63" s="299"/>
      <c r="B63" s="300"/>
      <c r="C63" s="300"/>
      <c r="D63" s="300"/>
      <c r="E63" s="300">
        <v>1</v>
      </c>
      <c r="F63" s="301">
        <v>1</v>
      </c>
    </row>
    <row r="64" spans="1:6" ht="15.75" thickBot="1"/>
    <row r="65" spans="1:2" ht="15.75" thickBot="1">
      <c r="A65" s="412" t="s">
        <v>324</v>
      </c>
      <c r="B65" s="413"/>
    </row>
    <row r="66" spans="1:2" ht="15.75" thickBot="1">
      <c r="A66" s="307"/>
      <c r="B66" s="178"/>
    </row>
  </sheetData>
  <sheetProtection selectLockedCells="1" selectUnlockedCells="1"/>
  <dataConsolidate/>
  <mergeCells count="16">
    <mergeCell ref="Q11:R11"/>
    <mergeCell ref="Q12:R12"/>
    <mergeCell ref="Q13:R13"/>
    <mergeCell ref="Q14:R14"/>
    <mergeCell ref="Q15:R15"/>
    <mergeCell ref="A65:B65"/>
    <mergeCell ref="A50:F50"/>
    <mergeCell ref="Q16:R16"/>
    <mergeCell ref="Q17:R17"/>
    <mergeCell ref="C44:E44"/>
    <mergeCell ref="F44:H44"/>
    <mergeCell ref="I44:K44"/>
    <mergeCell ref="L44:N44"/>
    <mergeCell ref="O44:Q44"/>
    <mergeCell ref="R44:S44"/>
    <mergeCell ref="A43:S43"/>
  </mergeCells>
  <conditionalFormatting sqref="D46 S12">
    <cfRule type="cellIs" dxfId="15" priority="27" operator="notBetween">
      <formula>$C$46</formula>
      <formula>$E$46</formula>
    </cfRule>
    <cfRule type="cellIs" dxfId="14" priority="28" operator="between">
      <formula>$C$46</formula>
      <formula>$E$46</formula>
    </cfRule>
  </conditionalFormatting>
  <conditionalFormatting sqref="J46 S14">
    <cfRule type="cellIs" dxfId="13" priority="17" operator="notBetween">
      <formula>$I$46</formula>
      <formula>$K$46</formula>
    </cfRule>
    <cfRule type="cellIs" dxfId="12" priority="26" operator="between">
      <formula>$I$46</formula>
      <formula>$K$46</formula>
    </cfRule>
  </conditionalFormatting>
  <conditionalFormatting sqref="M46">
    <cfRule type="cellIs" dxfId="11" priority="24" operator="lessThan">
      <formula>$L$46</formula>
    </cfRule>
    <cfRule type="cellIs" dxfId="10" priority="25" operator="greaterThan">
      <formula>$L$30+$L$46</formula>
    </cfRule>
  </conditionalFormatting>
  <conditionalFormatting sqref="P46 S16">
    <cfRule type="cellIs" dxfId="9" priority="22" operator="greaterThan">
      <formula>$O$46</formula>
    </cfRule>
    <cfRule type="cellIs" dxfId="8" priority="23" operator="lessThan">
      <formula>$O$46</formula>
    </cfRule>
  </conditionalFormatting>
  <conditionalFormatting sqref="R46 S17">
    <cfRule type="cellIs" dxfId="7" priority="20" operator="lessThan">
      <formula>$S$46</formula>
    </cfRule>
    <cfRule type="cellIs" dxfId="6" priority="21" operator="greaterThan">
      <formula>$S$46</formula>
    </cfRule>
  </conditionalFormatting>
  <conditionalFormatting sqref="G46 S13">
    <cfRule type="cellIs" dxfId="5" priority="18" operator="notBetween">
      <formula>$F$46</formula>
      <formula>$H$46</formula>
    </cfRule>
    <cfRule type="cellIs" dxfId="4" priority="19" operator="between">
      <formula>$F$46</formula>
      <formula>$H$46</formula>
    </cfRule>
  </conditionalFormatting>
  <conditionalFormatting sqref="A46 S11">
    <cfRule type="cellIs" dxfId="3" priority="15" operator="lessThan">
      <formula>$B$46</formula>
    </cfRule>
    <cfRule type="cellIs" dxfId="2" priority="16" operator="greaterThan">
      <formula>$B$46</formula>
    </cfRule>
  </conditionalFormatting>
  <conditionalFormatting sqref="S15">
    <cfRule type="cellIs" dxfId="1" priority="5" operator="lessThan">
      <formula>$L$46</formula>
    </cfRule>
    <cfRule type="cellIs" dxfId="0" priority="6" operator="greaterThan">
      <formula>$L$46</formula>
    </cfRule>
  </conditionalFormatting>
  <pageMargins left="0.7" right="0.7" top="0.75" bottom="0.75" header="0.3" footer="0.3"/>
  <pageSetup scale="44" orientation="landscape" r:id="rId1"/>
  <colBreaks count="1" manualBreakCount="1">
    <brk id="20" max="1048575" man="1"/>
  </colBreaks>
  <drawing r:id="rId2"/>
  <legacyDrawing r:id="rId3"/>
  <controls>
    <control shapeId="2102" r:id="rId4" name="Gross_Weight"/>
    <control shapeId="2103" r:id="rId5" name="Lon_MOM"/>
    <control shapeId="2104" r:id="rId6" name="Lat_Mom"/>
    <control shapeId="2127" r:id="rId7" name="TextBox1"/>
    <control shapeId="2130" r:id="rId8" name="TextBox2"/>
    <control shapeId="2131" r:id="rId9" name="TextBox3"/>
    <control shapeId="2132" r:id="rId10" name="TextBox4"/>
    <control shapeId="2134" r:id="rId11" name="TextBox6"/>
    <control shapeId="2135" r:id="rId12" name="TextBox7"/>
    <control shapeId="2136" r:id="rId13" name="TextBox8"/>
    <control shapeId="2137" r:id="rId14" name="TextBox9"/>
    <control shapeId="2139" r:id="rId15" name="TextBox11"/>
    <control shapeId="2140" r:id="rId16" name="TextBox12"/>
    <control shapeId="2141" r:id="rId17" name="TextBox13"/>
    <control shapeId="2142" r:id="rId18" name="TextBox14"/>
    <control shapeId="2144" r:id="rId19" name="TextBox16"/>
    <control shapeId="2145" r:id="rId20" name="TextBox17"/>
    <control shapeId="2146" r:id="rId21" name="TextBox18"/>
    <control shapeId="2147" r:id="rId22" name="TextBox19"/>
    <control shapeId="2153" r:id="rId23" name="TextBox5"/>
    <control shapeId="2154" r:id="rId24" name="TextBox10"/>
    <control shapeId="2155" r:id="rId25" name="TextBox15"/>
    <control shapeId="2156" r:id="rId26" name="TextBox20"/>
    <control shapeId="2157" r:id="rId27" name="TextBox21"/>
    <control shapeId="2158" r:id="rId28" name="TextBox22"/>
    <control shapeId="2159" r:id="rId29" name="TextBox23"/>
    <control shapeId="2160" r:id="rId30" name="TextBox24"/>
    <control shapeId="2161" r:id="rId31" name="TextBox25"/>
    <control shapeId="2162" r:id="rId32" name="TextBox26"/>
    <control shapeId="2163" r:id="rId33" name="TextBox27"/>
    <control shapeId="2164" r:id="rId34" name="TextBox28"/>
    <control shapeId="2165" r:id="rId35" name="TextBox29"/>
    <control shapeId="2166" r:id="rId36" name="TextBox30"/>
    <control shapeId="2167" r:id="rId37" name="TextBox31"/>
    <control shapeId="2168" r:id="rId38" name="TextBox32"/>
    <control shapeId="2173" r:id="rId39" name="TextBox33"/>
    <control shapeId="2174" r:id="rId40" name="TextBox34"/>
    <control shapeId="2175" r:id="rId41" name="TextBox35"/>
    <control shapeId="2176" r:id="rId42" name="TextBox36"/>
    <control shapeId="2177" r:id="rId43" name="TextBox37"/>
    <control shapeId="2178" r:id="rId44" name="TextBox38"/>
    <control shapeId="2179" r:id="rId45" name="TextBox39"/>
    <control shapeId="2180" r:id="rId46" name="TextBox40"/>
    <control shapeId="2181" r:id="rId47" name="TextBox41"/>
    <control shapeId="2182" r:id="rId48" name="TextBox42"/>
    <control shapeId="2183" r:id="rId49" name="TextBox43"/>
    <control shapeId="2184" r:id="rId50" name="TextBox44"/>
    <control shapeId="2185" r:id="rId51" name="TextBox45"/>
    <control shapeId="2186" r:id="rId52" name="TextBox46"/>
    <control shapeId="2187" r:id="rId53" name="TextBox47"/>
    <control shapeId="2188" r:id="rId54" name="TextBox48"/>
    <control shapeId="2247" r:id="rId55" name="TextBox49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Q374"/>
  <sheetViews>
    <sheetView showGridLines="0" showRowColHeaders="0" topLeftCell="A40" zoomScale="190" zoomScaleNormal="190" workbookViewId="0">
      <selection activeCell="B32" sqref="B32"/>
    </sheetView>
  </sheetViews>
  <sheetFormatPr defaultRowHeight="15"/>
  <cols>
    <col min="1" max="1" width="13.85546875" customWidth="1"/>
    <col min="2" max="2" width="7.42578125" customWidth="1"/>
    <col min="3" max="3" width="2.85546875" customWidth="1"/>
    <col min="4" max="4" width="6.42578125" customWidth="1"/>
    <col min="5" max="5" width="3.85546875" customWidth="1"/>
    <col min="6" max="6" width="3.28515625" customWidth="1"/>
    <col min="7" max="7" width="6" customWidth="1"/>
    <col min="8" max="8" width="3.140625" customWidth="1"/>
    <col min="9" max="9" width="18" customWidth="1"/>
    <col min="10" max="10" width="4.5703125" customWidth="1"/>
    <col min="11" max="11" width="7.140625" customWidth="1"/>
    <col min="12" max="12" width="6.7109375" customWidth="1"/>
    <col min="13" max="13" width="6.140625" customWidth="1"/>
    <col min="15" max="15" width="24.5703125" bestFit="1" customWidth="1"/>
    <col min="19" max="19" width="14.140625" bestFit="1" customWidth="1"/>
    <col min="20" max="20" width="12.42578125" bestFit="1" customWidth="1"/>
  </cols>
  <sheetData>
    <row r="1" spans="1:14" ht="18" customHeight="1">
      <c r="A1" s="463" t="s">
        <v>7</v>
      </c>
      <c r="B1" s="463"/>
      <c r="C1" s="463"/>
      <c r="D1" s="463"/>
      <c r="E1" s="463"/>
      <c r="F1" s="463"/>
      <c r="G1" s="463"/>
      <c r="H1" s="464"/>
      <c r="I1" s="464"/>
      <c r="J1" s="464"/>
      <c r="K1" s="464"/>
      <c r="L1" s="464"/>
      <c r="M1" s="464"/>
    </row>
    <row r="2" spans="1:14" ht="26.25" customHeight="1">
      <c r="A2" s="465" t="s">
        <v>12</v>
      </c>
      <c r="B2" s="466"/>
      <c r="C2" s="466"/>
      <c r="D2" s="466"/>
      <c r="E2" s="466"/>
      <c r="F2" s="466"/>
      <c r="G2" s="467"/>
      <c r="H2" s="467"/>
      <c r="I2" s="468"/>
      <c r="J2" s="474" t="str">
        <f>CONCATENATE("FOR USE WITH T.O. ",Calculations!CM3, " AND T.O. 1-1B-50")</f>
        <v>FOR USE WITH T.O. 1F-16CM-5-2 AND T.O. 1-1B-50</v>
      </c>
      <c r="K2" s="475"/>
      <c r="L2" s="475"/>
      <c r="M2" s="476"/>
    </row>
    <row r="3" spans="1:14" ht="9" customHeight="1">
      <c r="A3" s="215" t="s">
        <v>17</v>
      </c>
      <c r="B3" s="225">
        <f ca="1">TODAY()</f>
        <v>40946</v>
      </c>
      <c r="C3" s="479" t="s">
        <v>19</v>
      </c>
      <c r="D3" s="480"/>
      <c r="E3" s="216"/>
      <c r="F3" s="216"/>
      <c r="G3" s="66" t="str">
        <f>Calculations!H3</f>
        <v>F-16DM 50/52</v>
      </c>
      <c r="H3" s="76"/>
      <c r="I3" s="21" t="s">
        <v>22</v>
      </c>
      <c r="J3" s="446" t="s">
        <v>13</v>
      </c>
      <c r="K3" s="444"/>
      <c r="L3" s="477" t="s">
        <v>16</v>
      </c>
      <c r="M3" s="478"/>
    </row>
    <row r="4" spans="1:14" ht="9" customHeight="1">
      <c r="A4" s="215" t="s">
        <v>18</v>
      </c>
      <c r="B4" s="217" t="s">
        <v>381</v>
      </c>
      <c r="C4" s="215" t="s">
        <v>20</v>
      </c>
      <c r="D4" s="216"/>
      <c r="E4" s="216"/>
      <c r="F4" s="216"/>
      <c r="G4" s="63" t="str">
        <f>Calculations!C3</f>
        <v>90-00840</v>
      </c>
      <c r="H4" s="20" t="s">
        <v>21</v>
      </c>
      <c r="I4" s="22" t="s">
        <v>22</v>
      </c>
      <c r="J4" s="446" t="s">
        <v>14</v>
      </c>
      <c r="K4" s="444"/>
      <c r="L4" s="477" t="s">
        <v>15</v>
      </c>
      <c r="M4" s="478"/>
      <c r="N4" s="5"/>
    </row>
    <row r="5" spans="1:14" ht="9" customHeight="1">
      <c r="A5" s="471" t="s">
        <v>23</v>
      </c>
      <c r="B5" s="472"/>
      <c r="C5" s="472"/>
      <c r="D5" s="472"/>
      <c r="E5" s="472"/>
      <c r="F5" s="472"/>
      <c r="G5" s="470"/>
      <c r="H5" s="17" t="s">
        <v>24</v>
      </c>
      <c r="I5" s="469" t="s">
        <v>8</v>
      </c>
      <c r="J5" s="470"/>
      <c r="K5" s="18" t="s">
        <v>10</v>
      </c>
      <c r="L5" s="26"/>
      <c r="M5" s="26"/>
      <c r="N5" s="1"/>
    </row>
    <row r="6" spans="1:14" ht="9" customHeight="1">
      <c r="A6" s="471" t="s">
        <v>8</v>
      </c>
      <c r="B6" s="472"/>
      <c r="C6" s="473"/>
      <c r="D6" s="218" t="s">
        <v>10</v>
      </c>
      <c r="E6" s="471" t="s">
        <v>25</v>
      </c>
      <c r="F6" s="481"/>
      <c r="G6" s="18" t="s">
        <v>0</v>
      </c>
      <c r="H6" s="18">
        <v>1</v>
      </c>
      <c r="I6" s="28" t="s">
        <v>9</v>
      </c>
      <c r="J6" s="4"/>
      <c r="K6" s="127">
        <f>VALUE(Configurator!J3)</f>
        <v>19713</v>
      </c>
      <c r="L6" s="323">
        <f>VALUE(Configurator!L3)</f>
        <v>63994</v>
      </c>
      <c r="M6" s="127">
        <f>VALUE(Configurator!M3)</f>
        <v>0</v>
      </c>
      <c r="N6" s="1"/>
    </row>
    <row r="7" spans="1:14" ht="9" customHeight="1">
      <c r="A7" s="471" t="s">
        <v>26</v>
      </c>
      <c r="B7" s="472"/>
      <c r="C7" s="472"/>
      <c r="D7" s="472"/>
      <c r="E7" s="472"/>
      <c r="F7" s="472"/>
      <c r="G7" s="473"/>
      <c r="H7" s="24">
        <v>3</v>
      </c>
      <c r="I7" s="19" t="str">
        <f>Calculations!AS3</f>
        <v>Pilot</v>
      </c>
      <c r="J7" s="2"/>
      <c r="K7" s="29">
        <f>Calculations!AT3</f>
        <v>215</v>
      </c>
      <c r="L7" s="226">
        <f>Calculations!AU3</f>
        <v>296</v>
      </c>
      <c r="M7" s="29">
        <f>Calculations!AV3</f>
        <v>0</v>
      </c>
      <c r="N7" s="1"/>
    </row>
    <row r="8" spans="1:14" ht="9" customHeight="1">
      <c r="A8" s="278" t="s">
        <v>29</v>
      </c>
      <c r="B8" s="279"/>
      <c r="C8" s="280"/>
      <c r="D8" s="219">
        <f>K54</f>
        <v>40061</v>
      </c>
      <c r="E8" s="453">
        <f>L54</f>
        <v>129138.95225</v>
      </c>
      <c r="F8" s="454"/>
      <c r="G8" s="74">
        <f>Percent_MAC(SUM(E8),SUM(D8),Constants!$A$3,Constants!$B$3)</f>
        <v>0.36252788610296283</v>
      </c>
      <c r="H8" s="458" t="s">
        <v>28</v>
      </c>
      <c r="I8" s="16" t="str">
        <f>Calculations!AS4</f>
        <v>Back Seater</v>
      </c>
      <c r="J8" s="2"/>
      <c r="K8" s="29">
        <f>Calculations!AT4</f>
        <v>215</v>
      </c>
      <c r="L8" s="226">
        <f>Calculations!AU4</f>
        <v>436</v>
      </c>
      <c r="M8" s="29">
        <f>Calculations!AV4</f>
        <v>0</v>
      </c>
      <c r="N8" s="1"/>
    </row>
    <row r="9" spans="1:14" ht="9" customHeight="1">
      <c r="A9" s="278" t="s">
        <v>30</v>
      </c>
      <c r="B9" s="279"/>
      <c r="C9" s="280"/>
      <c r="D9" s="219">
        <f>-SUM(K$52:K$53)</f>
        <v>-12992</v>
      </c>
      <c r="E9" s="453">
        <f>-SUM(L$52:L$53)</f>
        <v>-41714</v>
      </c>
      <c r="F9" s="454"/>
      <c r="G9" s="74">
        <f>Percent_MAC(SUM(E8:F9),SUM(D8:D9),Constants!$A$3,Constants!$B$3)</f>
        <v>0.36705498933036834</v>
      </c>
      <c r="H9" s="458"/>
      <c r="I9" s="19" t="s">
        <v>27</v>
      </c>
      <c r="J9" s="2"/>
      <c r="K9" s="31"/>
      <c r="L9" s="324"/>
      <c r="M9" s="31"/>
      <c r="N9" s="1"/>
    </row>
    <row r="10" spans="1:14" ht="9" customHeight="1">
      <c r="A10" s="281" t="s">
        <v>31</v>
      </c>
      <c r="B10" s="279"/>
      <c r="C10" s="280"/>
      <c r="D10" s="219">
        <f>Calculations!F3</f>
        <v>7525</v>
      </c>
      <c r="E10" s="453">
        <f>Calculations!G3</f>
        <v>23871</v>
      </c>
      <c r="F10" s="454"/>
      <c r="G10" s="74">
        <f>Percent_MAC(SUM(E8:E10),SUM(D8:D10),Constants!$A$3,Constants!$B$3)</f>
        <v>0.35785034998443654</v>
      </c>
      <c r="H10" s="458"/>
      <c r="I10" s="14" t="str">
        <f>IF(Calculations!$AI3&lt;&gt;0, Calculations!AI3, "")</f>
        <v>AIM-9L OR -9M (STA 1)</v>
      </c>
      <c r="J10" s="2"/>
      <c r="K10" s="70">
        <f>IF(Calculations!$AI3&lt;&gt;0, Calculations!AJ3, "")</f>
        <v>195</v>
      </c>
      <c r="L10" s="325">
        <f>IF(Calculations!$AI3&lt;&gt;0, Calculations!AK3, "")</f>
        <v>710.77499999999998</v>
      </c>
      <c r="M10" s="226">
        <f>IF(Calculations!$AI3&lt;&gt;0, Calculations!AL3, "")</f>
        <v>-368.745</v>
      </c>
      <c r="N10" s="1"/>
    </row>
    <row r="11" spans="1:14" ht="9" customHeight="1">
      <c r="A11" s="281" t="s">
        <v>32</v>
      </c>
      <c r="B11" s="279"/>
      <c r="C11" s="280"/>
      <c r="D11" s="219"/>
      <c r="E11" s="453">
        <f>Calculations!K3</f>
        <v>-214</v>
      </c>
      <c r="F11" s="454"/>
      <c r="G11" s="74">
        <f>Percent_MAC(SUM(E8:E11),SUM(D8:D11),Constants!$A$3,Constants!$B$3)</f>
        <v>0.35329643079816747</v>
      </c>
      <c r="H11" s="458"/>
      <c r="I11" s="14" t="str">
        <f>IF(Calculations!$AI4&lt;&gt;0, Calculations!AI4, "")</f>
        <v>LAU-129/A (STA 1)</v>
      </c>
      <c r="J11" s="2"/>
      <c r="K11" s="70">
        <f>IF(Calculations!$AI4&lt;&gt;0, Calculations!AJ4, "")</f>
        <v>15</v>
      </c>
      <c r="L11" s="326">
        <f>IF(Calculations!$AI4&lt;&gt;0, Calculations!AK4, "")</f>
        <v>55.95</v>
      </c>
      <c r="M11" s="226">
        <f>IF(Calculations!$AI4&lt;&gt;0, Calculations!AL4, "")</f>
        <v>-28.364999999999998</v>
      </c>
      <c r="N11" s="1"/>
    </row>
    <row r="12" spans="1:14" ht="9" customHeight="1">
      <c r="A12" s="429" t="s">
        <v>665</v>
      </c>
      <c r="B12" s="429"/>
      <c r="C12" s="429"/>
      <c r="D12" s="322">
        <v>-93</v>
      </c>
      <c r="E12" s="426">
        <v>-316.94400000000002</v>
      </c>
      <c r="F12" s="426"/>
      <c r="G12" s="160">
        <f>Percent_MAC(SUM(E8:E12),SUM(D8:D12),Constants!$A$3,Constants!$B$3)</f>
        <v>0.35290554452613299</v>
      </c>
      <c r="H12" s="458"/>
      <c r="I12" s="14" t="str">
        <f>IF(Calculations!$AI5&lt;&gt;0, Calculations!AI5, "")</f>
        <v>LAU-129/A (STA 2)</v>
      </c>
      <c r="J12" s="30"/>
      <c r="K12" s="70">
        <f>IF(Calculations!$AI5&lt;&gt;0, Calculations!AJ5, "")</f>
        <v>87</v>
      </c>
      <c r="L12" s="326">
        <f>IF(Calculations!$AI5&lt;&gt;0, Calculations!AK5, "")</f>
        <v>310.15499999999997</v>
      </c>
      <c r="M12" s="226">
        <f>IF(Calculations!$AI5&lt;&gt;0, Calculations!AL5, "")</f>
        <v>-136.59</v>
      </c>
      <c r="N12" s="1"/>
    </row>
    <row r="13" spans="1:14" ht="9" customHeight="1">
      <c r="A13" s="429" t="s">
        <v>739</v>
      </c>
      <c r="B13" s="429"/>
      <c r="C13" s="429"/>
      <c r="D13" s="322">
        <v>-1530</v>
      </c>
      <c r="E13" s="426">
        <v>-5187.0059999999994</v>
      </c>
      <c r="F13" s="426"/>
      <c r="G13" s="160">
        <f>Percent_MAC(SUM(E8:E13),SUM(D8:D13),Constants!$A$3,Constants!$B$3)</f>
        <v>0.34676635000369199</v>
      </c>
      <c r="H13" s="458"/>
      <c r="I13" s="14" t="str">
        <f>IF(Calculations!$AI6&lt;&gt;0, Calculations!AI6, "")</f>
        <v>16S301 ADAPTER (STA 2)</v>
      </c>
      <c r="J13" s="30"/>
      <c r="K13" s="70">
        <f>IF(Calculations!$AI6&lt;&gt;0, Calculations!AJ6, "")</f>
        <v>26</v>
      </c>
      <c r="L13" s="326">
        <f>IF(Calculations!$AI6&lt;&gt;0, Calculations!AK6, "")</f>
        <v>97.448000000000008</v>
      </c>
      <c r="M13" s="226">
        <f>IF(Calculations!$AI6&lt;&gt;0, Calculations!AL6, "")</f>
        <v>-40.82</v>
      </c>
      <c r="N13" s="1"/>
    </row>
    <row r="14" spans="1:14" ht="9" customHeight="1">
      <c r="A14" s="429" t="s">
        <v>658</v>
      </c>
      <c r="B14" s="429"/>
      <c r="C14" s="429"/>
      <c r="D14" s="322">
        <v>-383</v>
      </c>
      <c r="E14" s="426">
        <v>-1248.0016700000001</v>
      </c>
      <c r="F14" s="426"/>
      <c r="G14" s="160">
        <f>Percent_MAC(SUM(E8:E14),SUM(D8:D14),Constants!$A$3,Constants!$B$3)</f>
        <v>0.34627887741272956</v>
      </c>
      <c r="H14" s="458"/>
      <c r="I14" s="14" t="str">
        <f>IF(Calculations!$AI7&lt;&gt;0, Calculations!AI7, "")</f>
        <v>AIM-9L OR -9M (STA 2)</v>
      </c>
      <c r="J14" s="30"/>
      <c r="K14" s="70">
        <f>IF(Calculations!$AI7&lt;&gt;0, Calculations!AJ7, "")</f>
        <v>195</v>
      </c>
      <c r="L14" s="326">
        <f>IF(Calculations!$AI7&lt;&gt;0, Calculations!AK7, "")</f>
        <v>691.86</v>
      </c>
      <c r="M14" s="226">
        <f>IF(Calculations!$AI7&lt;&gt;0, Calculations!AL7, "")</f>
        <v>-306.14999999999998</v>
      </c>
      <c r="N14" s="1"/>
    </row>
    <row r="15" spans="1:14" ht="9" customHeight="1">
      <c r="A15" s="427" t="s">
        <v>738</v>
      </c>
      <c r="B15" s="427"/>
      <c r="C15" s="427"/>
      <c r="D15" s="396">
        <v>-93</v>
      </c>
      <c r="E15" s="428">
        <v>-316.94400000000002</v>
      </c>
      <c r="F15" s="428"/>
      <c r="G15" s="302">
        <f>Percent_MAC(SUM(E8:E15),SUM(D8:D15),Constants!$A$3,Constants!$B$3)</f>
        <v>0.34584377663610855</v>
      </c>
      <c r="H15" s="458"/>
      <c r="I15" s="14" t="str">
        <f>IF(Calculations!$AI8&lt;&gt;0, Calculations!AI8, "")</f>
        <v>W/P, ACRIU (STA 3)</v>
      </c>
      <c r="J15" s="30"/>
      <c r="K15" s="70">
        <f>IF(Calculations!$AI8&lt;&gt;0, Calculations!AJ8, "")</f>
        <v>278</v>
      </c>
      <c r="L15" s="326">
        <f>IF(Calculations!$AI8&lt;&gt;0, Calculations!AK8, "")</f>
        <v>964.38199999999995</v>
      </c>
      <c r="M15" s="226">
        <f>IF(Calculations!$AI8&lt;&gt;0, Calculations!AL8, "")</f>
        <v>-333.6</v>
      </c>
      <c r="N15" s="1"/>
    </row>
    <row r="16" spans="1:14" ht="9" customHeight="1">
      <c r="A16" s="427" t="s">
        <v>740</v>
      </c>
      <c r="B16" s="427"/>
      <c r="C16" s="427"/>
      <c r="D16" s="396">
        <v>-1530</v>
      </c>
      <c r="E16" s="428">
        <v>-5187.0059999999994</v>
      </c>
      <c r="F16" s="428"/>
      <c r="G16" s="302">
        <f>Percent_MAC(SUM(E8:E16),SUM(D8:D16),Constants!$A$3,Constants!$B$3)</f>
        <v>0.33895794141986002</v>
      </c>
      <c r="H16" s="458"/>
      <c r="I16" s="14" t="str">
        <f>IF(Calculations!$AI9&lt;&gt;0, Calculations!AI9, "")</f>
        <v>PIVOT BALL &amp; MISC. (STA 4)</v>
      </c>
      <c r="J16" s="30"/>
      <c r="K16" s="70">
        <f>IF(Calculations!$AI9&lt;&gt;0, Calculations!AJ9, "")</f>
        <v>8</v>
      </c>
      <c r="L16" s="326">
        <f>IF(Calculations!$AI9&lt;&gt;0, Calculations!AK9, "")</f>
        <v>26.695999999999998</v>
      </c>
      <c r="M16" s="226">
        <f>IF(Calculations!$AI9&lt;&gt;0, Calculations!AL9, "")</f>
        <v>-5.68</v>
      </c>
      <c r="N16" s="1"/>
    </row>
    <row r="17" spans="1:14" ht="9" customHeight="1">
      <c r="A17" s="431" t="s">
        <v>33</v>
      </c>
      <c r="B17" s="431"/>
      <c r="C17" s="431"/>
      <c r="D17" s="396">
        <f>SUM(D8:D16)</f>
        <v>30965</v>
      </c>
      <c r="E17" s="428">
        <f>SUM(E8:E16)</f>
        <v>98826.05058000001</v>
      </c>
      <c r="F17" s="428"/>
      <c r="G17" s="302"/>
      <c r="H17" s="458"/>
      <c r="I17" s="14" t="str">
        <f>IF(Calculations!$AI10&lt;&gt;0, Calculations!AI10, "")</f>
        <v>16S951, RIU REMOVED (STA 5)</v>
      </c>
      <c r="J17" s="30"/>
      <c r="K17" s="70">
        <f>IF(Calculations!$AI10&lt;&gt;0, Calculations!AJ10, "")</f>
        <v>160</v>
      </c>
      <c r="L17" s="326">
        <f>IF(Calculations!$AI10&lt;&gt;0, Calculations!AK10, "")</f>
        <v>491.52</v>
      </c>
      <c r="M17" s="226">
        <f>IF(Calculations!$AI10&lt;&gt;0, Calculations!AL10, "")</f>
        <v>0</v>
      </c>
      <c r="N17" s="1"/>
    </row>
    <row r="18" spans="1:14" ht="9" customHeight="1">
      <c r="A18" s="282" t="s">
        <v>34</v>
      </c>
      <c r="B18" s="283"/>
      <c r="C18" s="284"/>
      <c r="D18" s="407"/>
      <c r="E18" s="430" t="str">
        <f>CONCATENATE(TEXT(Configurator!L46,"0.0%"),"   &lt; ")</f>
        <v xml:space="preserve">25.7%   &lt; </v>
      </c>
      <c r="F18" s="430"/>
      <c r="G18" s="406">
        <f>Percent_MAC(E17,D17,Constants!$A$3,Constants!$B$3)</f>
        <v>0.33895794141986002</v>
      </c>
      <c r="H18" s="458"/>
      <c r="I18" s="14" t="str">
        <f>IF(Calculations!$AI11&lt;&gt;0, Calculations!AI11, "")</f>
        <v>LANTIRN POD (STA 5R)</v>
      </c>
      <c r="J18" s="30"/>
      <c r="K18" s="70">
        <f>IF(Calculations!$AI11&lt;&gt;0, Calculations!AJ11, "")</f>
        <v>595</v>
      </c>
      <c r="L18" s="326">
        <f>IF(Calculations!$AI11&lt;&gt;0, Calculations!AK11, "")</f>
        <v>1267</v>
      </c>
      <c r="M18" s="226">
        <f>IF(Calculations!$AI11&lt;&gt;0, Calculations!AL11, "")</f>
        <v>137.40275499999998</v>
      </c>
      <c r="N18" s="1"/>
    </row>
    <row r="19" spans="1:14" ht="9" customHeight="1">
      <c r="A19" s="432" t="s">
        <v>35</v>
      </c>
      <c r="B19" s="433"/>
      <c r="C19" s="433"/>
      <c r="D19" s="433"/>
      <c r="E19" s="433"/>
      <c r="F19" s="433"/>
      <c r="G19" s="434"/>
      <c r="H19" s="458"/>
      <c r="I19" s="14" t="str">
        <f>IF(Calculations!$AI12&lt;&gt;0, Calculations!AI12, "")</f>
        <v>PIVOT BALL &amp; MISC. (STA 6)</v>
      </c>
      <c r="J19" s="30"/>
      <c r="K19" s="214">
        <f>IF(Calculations!$AI12&lt;&gt;0, Calculations!AJ12, "")</f>
        <v>8</v>
      </c>
      <c r="L19" s="326">
        <f>IF(Calculations!$AI12&lt;&gt;0, Calculations!AK12, "")</f>
        <v>26.695999999999998</v>
      </c>
      <c r="M19" s="226">
        <f>IF(Calculations!$AI12&lt;&gt;0, Calculations!AL12, "")</f>
        <v>5.68</v>
      </c>
      <c r="N19" s="1"/>
    </row>
    <row r="20" spans="1:14" ht="9" customHeight="1">
      <c r="A20" s="431" t="s">
        <v>29</v>
      </c>
      <c r="B20" s="431"/>
      <c r="C20" s="431"/>
      <c r="D20" s="396">
        <f>K54</f>
        <v>40061</v>
      </c>
      <c r="E20" s="428">
        <f>L54</f>
        <v>129138.95225</v>
      </c>
      <c r="F20" s="428"/>
      <c r="G20" s="302">
        <f>Percent_MAC(E20,D20,Constants!$A$3,Constants!$B$3)</f>
        <v>0.36252788610296283</v>
      </c>
      <c r="H20" s="458"/>
      <c r="I20" s="14" t="str">
        <f>IF(Calculations!$AI13&lt;&gt;0, Calculations!AI13, "")</f>
        <v>W/P, ACRIU (STA 7)</v>
      </c>
      <c r="J20" s="30"/>
      <c r="K20" s="214">
        <f>IF(Calculations!$AI13&lt;&gt;0, Calculations!AJ13, "")</f>
        <v>278</v>
      </c>
      <c r="L20" s="325">
        <f>IF(Calculations!$AI13&lt;&gt;0, Calculations!AK13, "")</f>
        <v>964.38199999999995</v>
      </c>
      <c r="M20" s="226">
        <f>IF(Calculations!$AI13&lt;&gt;0, Calculations!AL13, "")</f>
        <v>333.6</v>
      </c>
      <c r="N20" s="1"/>
    </row>
    <row r="21" spans="1:14" ht="9" customHeight="1">
      <c r="A21" s="431" t="s">
        <v>30</v>
      </c>
      <c r="B21" s="431"/>
      <c r="C21" s="431"/>
      <c r="D21" s="396">
        <f>-SUM(K$52:K$53)</f>
        <v>-12992</v>
      </c>
      <c r="E21" s="428">
        <f>-SUM(L$52:L$53)</f>
        <v>-41714</v>
      </c>
      <c r="F21" s="428"/>
      <c r="G21" s="160">
        <f>Percent_MAC(SUM(E20:E21),SUM(D20:D21),Constants!$A$3,Constants!$B$3)</f>
        <v>0.36705498933036834</v>
      </c>
      <c r="H21" s="458"/>
      <c r="I21" s="14" t="str">
        <f>IF(Calculations!$AI14&lt;&gt;0, Calculations!AI14, "")</f>
        <v>LAU-129/A (STA 8)</v>
      </c>
      <c r="J21" s="30"/>
      <c r="K21" s="214">
        <f>IF(Calculations!$AI14&lt;&gt;0, Calculations!AJ14, "")</f>
        <v>87</v>
      </c>
      <c r="L21" s="326">
        <f>IF(Calculations!$AI14&lt;&gt;0, Calculations!AK14, "")</f>
        <v>310.15499999999997</v>
      </c>
      <c r="M21" s="226">
        <f>IF(Calculations!$AI14&lt;&gt;0, Calculations!AL14, "")</f>
        <v>136.59</v>
      </c>
      <c r="N21" s="1"/>
    </row>
    <row r="22" spans="1:14" ht="9" customHeight="1">
      <c r="A22" s="427" t="s">
        <v>36</v>
      </c>
      <c r="B22" s="427"/>
      <c r="C22" s="427"/>
      <c r="D22" s="396">
        <f>Calculations!O3</f>
        <v>5920</v>
      </c>
      <c r="E22" s="428">
        <f>Calculations!P3</f>
        <v>20061</v>
      </c>
      <c r="F22" s="428"/>
      <c r="G22" s="160">
        <f>Percent_MAC(SUM(E20:E22),SUM(D20:D22),Constants!$A$3,Constants!$B$3)</f>
        <v>0.38805664524252831</v>
      </c>
      <c r="H22" s="458"/>
      <c r="I22" s="14" t="str">
        <f>IF(Calculations!$AI15&lt;&gt;0, Calculations!AI15, "")</f>
        <v>16S301 (STA 8)</v>
      </c>
      <c r="J22" s="30"/>
      <c r="K22" s="214">
        <f>IF(Calculations!$AI15&lt;&gt;0, Calculations!AJ15, "")</f>
        <v>26</v>
      </c>
      <c r="L22" s="326">
        <f>IF(Calculations!$AI15&lt;&gt;0, Calculations!AK15, "")</f>
        <v>97.448000000000008</v>
      </c>
      <c r="M22" s="226">
        <f>IF(Calculations!$AI15&lt;&gt;0, Calculations!AL15, "")</f>
        <v>40.82</v>
      </c>
      <c r="N22" s="1"/>
    </row>
    <row r="23" spans="1:14" ht="9" customHeight="1">
      <c r="A23" s="427" t="s">
        <v>32</v>
      </c>
      <c r="B23" s="427"/>
      <c r="C23" s="427"/>
      <c r="D23" s="396"/>
      <c r="E23" s="428">
        <f>Calculations!K3</f>
        <v>-214</v>
      </c>
      <c r="F23" s="428"/>
      <c r="G23" s="160">
        <f>Percent_MAC(SUM(E20:E23),SUM(D20:D23),Constants!$A$3,Constants!$B$3)</f>
        <v>0.38328116613343755</v>
      </c>
      <c r="H23" s="458"/>
      <c r="I23" s="14" t="str">
        <f>IF(Calculations!$AI16&lt;&gt;0, Calculations!AI16, "")</f>
        <v>AIM-9L OR -9M (STA 8)</v>
      </c>
      <c r="J23" s="30"/>
      <c r="K23" s="214">
        <f>IF(Calculations!$AI16&lt;&gt;0, Calculations!AJ16, "")</f>
        <v>195</v>
      </c>
      <c r="L23" s="326">
        <f>IF(Calculations!$AI16&lt;&gt;0, Calculations!AK16, "")</f>
        <v>691.86</v>
      </c>
      <c r="M23" s="226">
        <f>IF(Calculations!$AI16&lt;&gt;0, Calculations!AL16, "")</f>
        <v>306.14999999999998</v>
      </c>
      <c r="N23" s="1"/>
    </row>
    <row r="24" spans="1:14" ht="9" customHeight="1">
      <c r="A24" s="427" t="s">
        <v>39</v>
      </c>
      <c r="B24" s="427"/>
      <c r="C24" s="427"/>
      <c r="D24" s="396">
        <f>Calculations!AU9</f>
        <v>-265</v>
      </c>
      <c r="E24" s="428">
        <f>Calculations!AV9</f>
        <v>-505</v>
      </c>
      <c r="F24" s="428"/>
      <c r="G24" s="160">
        <f>Percent_MAC(SUM(E20:E24),SUM(D20:D24),Constants!$A$3,Constants!$B$3)</f>
        <v>0.39130580532451231</v>
      </c>
      <c r="H24" s="458"/>
      <c r="I24" s="14" t="str">
        <f>IF(Calculations!$AI17&lt;&gt;0, Calculations!AI17, "")</f>
        <v>AIM-9L OR -9M (STA 9)</v>
      </c>
      <c r="J24" s="30"/>
      <c r="K24" s="214">
        <f>IF(Calculations!$AI17&lt;&gt;0, Calculations!AJ17, "")</f>
        <v>195</v>
      </c>
      <c r="L24" s="326">
        <f>IF(Calculations!$AI17&lt;&gt;0, Calculations!AK17, "")</f>
        <v>710.77499999999998</v>
      </c>
      <c r="M24" s="226">
        <f>IF(Calculations!$AI17&lt;&gt;0, Calculations!AL17, "")</f>
        <v>368.745</v>
      </c>
      <c r="N24" s="1"/>
    </row>
    <row r="25" spans="1:14" ht="9" customHeight="1">
      <c r="A25" s="427" t="s">
        <v>466</v>
      </c>
      <c r="B25" s="427"/>
      <c r="C25" s="427"/>
      <c r="D25" s="396">
        <v>-467</v>
      </c>
      <c r="E25" s="428">
        <v>-1484.99929</v>
      </c>
      <c r="F25" s="428"/>
      <c r="G25" s="160">
        <f>Percent_MAC(SUM(E20:E25),SUM(D20:D25),Constants!$A$3,Constants!$B$3)</f>
        <v>0.39218805120156708</v>
      </c>
      <c r="H25" s="458"/>
      <c r="I25" s="14" t="str">
        <f>IF(Calculations!$AI18&lt;&gt;0, Calculations!AI18, "")</f>
        <v>LAU-129/A (STA 9)</v>
      </c>
      <c r="J25" s="30"/>
      <c r="K25" s="214">
        <f>IF(Calculations!$AI18&lt;&gt;0, Calculations!AJ18, "")</f>
        <v>15</v>
      </c>
      <c r="L25" s="326">
        <f>IF(Calculations!$AI18&lt;&gt;0, Calculations!AK18, "")</f>
        <v>55.95</v>
      </c>
      <c r="M25" s="226">
        <f>IF(Calculations!$AI18&lt;&gt;0, Calculations!AL18, "")</f>
        <v>28.364999999999998</v>
      </c>
      <c r="N25" s="1"/>
    </row>
    <row r="26" spans="1:14" ht="9" customHeight="1">
      <c r="A26" s="427" t="s">
        <v>658</v>
      </c>
      <c r="B26" s="427"/>
      <c r="C26" s="427"/>
      <c r="D26" s="396">
        <v>-383</v>
      </c>
      <c r="E26" s="428">
        <v>-1248.0016700000001</v>
      </c>
      <c r="F26" s="428"/>
      <c r="G26" s="160">
        <f>Percent_MAC(SUM(E20:E26),SUM(D20:D26),Constants!$A$3,Constants!$B$3)</f>
        <v>0.39223544891646006</v>
      </c>
      <c r="H26" s="458"/>
      <c r="I26" s="14" t="str">
        <f>IF(Calculations!$AI19&lt;&gt;0, Calculations!AI19, "")</f>
        <v/>
      </c>
      <c r="J26" s="30"/>
      <c r="K26" s="214" t="str">
        <f>IF(Calculations!$AI19&lt;&gt;0, Calculations!AJ19, "")</f>
        <v/>
      </c>
      <c r="L26" s="326" t="str">
        <f>IF(Calculations!$AI19&lt;&gt;0, Calculations!AK19, "")</f>
        <v/>
      </c>
      <c r="M26" s="226" t="str">
        <f>IF(Calculations!$AI19&lt;&gt;0, Calculations!AL19, "")</f>
        <v/>
      </c>
      <c r="N26" s="1"/>
    </row>
    <row r="27" spans="1:14" ht="9" customHeight="1">
      <c r="A27" s="427" t="s">
        <v>467</v>
      </c>
      <c r="B27" s="427"/>
      <c r="C27" s="427"/>
      <c r="D27" s="396">
        <v>-467</v>
      </c>
      <c r="E27" s="428">
        <v>-1484.99929</v>
      </c>
      <c r="F27" s="428"/>
      <c r="G27" s="160">
        <f>Percent_MAC(SUM(E20:E27),SUM(D20:D27),Constants!$A$3,Constants!$B$3)</f>
        <v>0.3931553950690243</v>
      </c>
      <c r="H27" s="458"/>
      <c r="I27" s="14" t="str">
        <f>IF(Calculations!$AI20&lt;&gt;0, Calculations!AI20, "")</f>
        <v/>
      </c>
      <c r="J27" s="30"/>
      <c r="K27" s="214" t="str">
        <f>IF(Calculations!$AI20&lt;&gt;0, Calculations!AJ20, "")</f>
        <v/>
      </c>
      <c r="L27" s="326" t="str">
        <f>IF(Calculations!$AI20&lt;&gt;0, Calculations!AK20, "")</f>
        <v/>
      </c>
      <c r="M27" s="226" t="str">
        <f>IF(Calculations!$AI20&lt;&gt;0, Calculations!AL20, "")</f>
        <v/>
      </c>
      <c r="N27" s="1"/>
    </row>
    <row r="28" spans="1:14" ht="9" customHeight="1">
      <c r="A28" s="431" t="s">
        <v>37</v>
      </c>
      <c r="B28" s="431"/>
      <c r="C28" s="431"/>
      <c r="D28" s="396">
        <f>SUM(D20:D27)</f>
        <v>31407</v>
      </c>
      <c r="E28" s="428">
        <f>SUM(E20:E27)</f>
        <v>102548.95199999999</v>
      </c>
      <c r="F28" s="428"/>
      <c r="G28" s="160"/>
      <c r="H28" s="458"/>
      <c r="I28" s="14" t="str">
        <f>IF(Calculations!$AI21&lt;&gt;0, Calculations!AI21, "")</f>
        <v/>
      </c>
      <c r="J28" s="30"/>
      <c r="K28" s="214" t="str">
        <f>IF(Calculations!$AI21&lt;&gt;0, Calculations!AJ21, "")</f>
        <v/>
      </c>
      <c r="L28" s="326" t="str">
        <f>IF(Calculations!$AI21&lt;&gt;0, Calculations!AK21, "")</f>
        <v/>
      </c>
      <c r="M28" s="226" t="str">
        <f>IF(Calculations!$AI21&lt;&gt;0, Calculations!AL21, "")</f>
        <v/>
      </c>
      <c r="N28" s="1"/>
    </row>
    <row r="29" spans="1:14" ht="9" customHeight="1">
      <c r="A29" s="282" t="s">
        <v>38</v>
      </c>
      <c r="B29" s="283"/>
      <c r="C29" s="284"/>
      <c r="D29" s="407"/>
      <c r="E29" s="430" t="str">
        <f>CONCATENATE(TEXT(Configurator!O46,"0.0%"),"   &gt; ")</f>
        <v xml:space="preserve">41.0%   &gt; </v>
      </c>
      <c r="F29" s="430"/>
      <c r="G29" s="255">
        <f>Percent_MAC(E28,D28,Constants!$A$3,Constants!$B$3)</f>
        <v>0.3931553950690243</v>
      </c>
      <c r="H29" s="458"/>
      <c r="I29" s="14" t="str">
        <f>IF(Calculations!$AI22&lt;&gt;0, Calculations!AI22, "")</f>
        <v/>
      </c>
      <c r="J29" s="30"/>
      <c r="K29" s="214" t="str">
        <f>IF(Calculations!$AI22&lt;&gt;0, Calculations!AJ22, "")</f>
        <v/>
      </c>
      <c r="L29" s="326" t="str">
        <f>IF(Calculations!$AI22&lt;&gt;0, Calculations!AK22, "")</f>
        <v/>
      </c>
      <c r="M29" s="226" t="str">
        <f>IF(Calculations!$AI22&lt;&gt;0, Calculations!AL22, "")</f>
        <v/>
      </c>
      <c r="N29" s="1"/>
    </row>
    <row r="30" spans="1:14" ht="9" customHeight="1">
      <c r="A30" s="285"/>
      <c r="B30" s="283"/>
      <c r="C30" s="284"/>
      <c r="D30" s="396"/>
      <c r="E30" s="286"/>
      <c r="F30" s="287"/>
      <c r="G30" s="255"/>
      <c r="H30" s="18">
        <v>4</v>
      </c>
      <c r="I30" s="19" t="s">
        <v>40</v>
      </c>
      <c r="J30" s="30"/>
      <c r="K30" s="69">
        <f>SUM(K6:K29)</f>
        <v>22506</v>
      </c>
      <c r="L30" s="132">
        <f>SUM(L6:L29)</f>
        <v>72199.051999999996</v>
      </c>
      <c r="M30" s="132">
        <f>SUM(M6:M29)</f>
        <v>137.40275500000018</v>
      </c>
      <c r="N30" s="1"/>
    </row>
    <row r="31" spans="1:14" ht="9" customHeight="1">
      <c r="A31" s="285"/>
      <c r="B31" s="283"/>
      <c r="C31" s="284"/>
      <c r="D31" s="396"/>
      <c r="E31" s="286"/>
      <c r="F31" s="287"/>
      <c r="G31" s="255"/>
      <c r="H31" s="18">
        <v>5</v>
      </c>
      <c r="I31" s="64" t="s">
        <v>41</v>
      </c>
      <c r="J31" s="30"/>
      <c r="K31" s="15"/>
      <c r="L31" s="227"/>
      <c r="M31" s="227"/>
      <c r="N31" s="1"/>
    </row>
    <row r="32" spans="1:14" ht="9" customHeight="1">
      <c r="A32" s="285"/>
      <c r="B32" s="283"/>
      <c r="C32" s="284"/>
      <c r="D32" s="396"/>
      <c r="E32" s="286"/>
      <c r="F32" s="287"/>
      <c r="G32" s="255"/>
      <c r="H32" s="24">
        <v>6</v>
      </c>
      <c r="I32" s="14" t="str">
        <f>IF(Calculations!$AN3&lt;&gt;0, Calculations!AN3, "")</f>
        <v>TER-9/A (STA 3)</v>
      </c>
      <c r="J32" s="80"/>
      <c r="K32" s="214">
        <f>IF(Calculations!$AN3&lt;&gt;0, Calculations!AO3, "")</f>
        <v>93</v>
      </c>
      <c r="L32" s="326">
        <f>IF(Calculations!$AN3&lt;&gt;0, Calculations!AP3, "")</f>
        <v>316.94400000000002</v>
      </c>
      <c r="M32" s="226">
        <f>IF(Calculations!$AN3&lt;&gt;0, Calculations!AQ3, "")</f>
        <v>-111.6</v>
      </c>
      <c r="N32" s="1"/>
    </row>
    <row r="33" spans="1:14" ht="9" customHeight="1">
      <c r="A33" s="285"/>
      <c r="B33" s="283"/>
      <c r="C33" s="284"/>
      <c r="D33" s="396"/>
      <c r="E33" s="286"/>
      <c r="F33" s="287"/>
      <c r="G33" s="255"/>
      <c r="H33" s="458" t="s">
        <v>42</v>
      </c>
      <c r="I33" s="14" t="str">
        <f>IF(Calculations!$AN4&lt;&gt;0, Calculations!AN4, "")</f>
        <v>3 x BDU-50 (STA 3)</v>
      </c>
      <c r="J33" s="80"/>
      <c r="K33" s="214">
        <f>IF(Calculations!$AN4&lt;&gt;0, Calculations!AO4, "")</f>
        <v>1530</v>
      </c>
      <c r="L33" s="326">
        <f>IF(Calculations!$AN4&lt;&gt;0, Calculations!AP4, "")</f>
        <v>5187.0059999999994</v>
      </c>
      <c r="M33" s="226">
        <f>IF(Calculations!$AN4&lt;&gt;0, Calculations!AQ4, "")</f>
        <v>-1836</v>
      </c>
      <c r="N33" s="1"/>
    </row>
    <row r="34" spans="1:14" ht="9" customHeight="1">
      <c r="A34" s="285"/>
      <c r="B34" s="283"/>
      <c r="C34" s="284"/>
      <c r="D34" s="396"/>
      <c r="E34" s="286"/>
      <c r="F34" s="287"/>
      <c r="G34" s="255"/>
      <c r="H34" s="458"/>
      <c r="I34" s="14" t="str">
        <f>IF(Calculations!$AN5&lt;&gt;0, Calculations!AN5, "")</f>
        <v>370 TANK/PYLON/UNUS (STA 4)</v>
      </c>
      <c r="J34" s="80"/>
      <c r="K34" s="214">
        <f>IF(Calculations!$AN5&lt;&gt;0, Calculations!AO5, "")</f>
        <v>467</v>
      </c>
      <c r="L34" s="326">
        <f>IF(Calculations!$AN5&lt;&gt;0, Calculations!AP5, "")</f>
        <v>1484.99929</v>
      </c>
      <c r="M34" s="226">
        <f>IF(Calculations!$AN5&lt;&gt;0, Calculations!AQ5, "")</f>
        <v>-331.57</v>
      </c>
      <c r="N34" s="1"/>
    </row>
    <row r="35" spans="1:14" ht="9" customHeight="1">
      <c r="A35" s="285"/>
      <c r="B35" s="283"/>
      <c r="C35" s="284"/>
      <c r="D35" s="396"/>
      <c r="E35" s="286"/>
      <c r="F35" s="287"/>
      <c r="G35" s="255"/>
      <c r="H35" s="458"/>
      <c r="I35" s="14" t="str">
        <f>IF(Calculations!$AN6&lt;&gt;0, Calculations!AN6, "")</f>
        <v>300 GAL FUEL TANK (STA 5)</v>
      </c>
      <c r="J35" s="80"/>
      <c r="K35" s="214">
        <f>IF(Calculations!$AN6&lt;&gt;0, Calculations!AO6, "")</f>
        <v>383</v>
      </c>
      <c r="L35" s="326">
        <f>IF(Calculations!$AN6&lt;&gt;0, Calculations!AP6, "")</f>
        <v>1248.0016700000001</v>
      </c>
      <c r="M35" s="226">
        <f>IF(Calculations!$AN6&lt;&gt;0, Calculations!AQ6, "")</f>
        <v>0</v>
      </c>
      <c r="N35" s="1"/>
    </row>
    <row r="36" spans="1:14" ht="9" customHeight="1">
      <c r="A36" s="285"/>
      <c r="B36" s="283"/>
      <c r="C36" s="284"/>
      <c r="D36" s="396"/>
      <c r="E36" s="286"/>
      <c r="F36" s="287"/>
      <c r="G36" s="255"/>
      <c r="H36" s="458"/>
      <c r="I36" s="14" t="str">
        <f>IF(Calculations!$AN7&lt;&gt;0, Calculations!AN7, "")</f>
        <v>370 TANK/PYLON/UNUS (STA 6)</v>
      </c>
      <c r="J36" s="80"/>
      <c r="K36" s="214">
        <f>IF(Calculations!$AN7&lt;&gt;0, Calculations!AO7, "")</f>
        <v>467</v>
      </c>
      <c r="L36" s="326">
        <f>IF(Calculations!$AN7&lt;&gt;0, Calculations!AP7, "")</f>
        <v>1484.99929</v>
      </c>
      <c r="M36" s="226">
        <f>IF(Calculations!$AN7&lt;&gt;0, Calculations!AQ7, "")</f>
        <v>331.57</v>
      </c>
      <c r="N36" s="1"/>
    </row>
    <row r="37" spans="1:14" ht="9" customHeight="1">
      <c r="A37" s="285"/>
      <c r="B37" s="283"/>
      <c r="C37" s="284"/>
      <c r="D37" s="396"/>
      <c r="E37" s="286"/>
      <c r="F37" s="287"/>
      <c r="G37" s="255"/>
      <c r="H37" s="458"/>
      <c r="I37" s="14" t="str">
        <f>IF(Calculations!$AN8&lt;&gt;0, Calculations!AN8, "")</f>
        <v>TER-9/A (STA 7)</v>
      </c>
      <c r="J37" s="80"/>
      <c r="K37" s="214">
        <f>IF(Calculations!$AN8&lt;&gt;0, Calculations!AO8, "")</f>
        <v>93</v>
      </c>
      <c r="L37" s="326">
        <f>IF(Calculations!$AN8&lt;&gt;0, Calculations!AP8, "")</f>
        <v>316.94400000000002</v>
      </c>
      <c r="M37" s="226">
        <f>IF(Calculations!$AN8&lt;&gt;0, Calculations!AQ8, "")</f>
        <v>111.6</v>
      </c>
      <c r="N37" s="1"/>
    </row>
    <row r="38" spans="1:14" ht="9" customHeight="1">
      <c r="A38" s="285"/>
      <c r="B38" s="283"/>
      <c r="C38" s="284"/>
      <c r="D38" s="396"/>
      <c r="E38" s="286"/>
      <c r="F38" s="287"/>
      <c r="G38" s="255"/>
      <c r="H38" s="458"/>
      <c r="I38" s="14" t="str">
        <f>IF(Calculations!$AN9&lt;&gt;0, Calculations!AN9, "")</f>
        <v>3 x BDU-50 (STA 7)</v>
      </c>
      <c r="J38" s="80"/>
      <c r="K38" s="214">
        <f>IF(Calculations!$AN9&lt;&gt;0, Calculations!AO9, "")</f>
        <v>1530</v>
      </c>
      <c r="L38" s="326">
        <f>IF(Calculations!$AN9&lt;&gt;0, Calculations!AP9, "")</f>
        <v>5187.0059999999994</v>
      </c>
      <c r="M38" s="226">
        <f>IF(Calculations!$AN9&lt;&gt;0, Calculations!AQ9, "")</f>
        <v>1836</v>
      </c>
      <c r="N38" s="1"/>
    </row>
    <row r="39" spans="1:14" ht="9" customHeight="1">
      <c r="A39" s="285"/>
      <c r="B39" s="283"/>
      <c r="C39" s="284"/>
      <c r="D39" s="396"/>
      <c r="E39" s="286"/>
      <c r="F39" s="287"/>
      <c r="G39" s="255"/>
      <c r="H39" s="458"/>
      <c r="I39" s="14" t="str">
        <f>IF(Calculations!$AN10&lt;&gt;0, Calculations!AN10, "")</f>
        <v/>
      </c>
      <c r="J39" s="80"/>
      <c r="K39" s="214" t="str">
        <f>IF(Calculations!$AN10&lt;&gt;0, Calculations!AO10, "")</f>
        <v/>
      </c>
      <c r="L39" s="326" t="str">
        <f>IF(Calculations!$AN10&lt;&gt;0, Calculations!AP10, "")</f>
        <v/>
      </c>
      <c r="M39" s="226" t="str">
        <f>IF(Calculations!$AN10&lt;&gt;0, Calculations!AQ10, "")</f>
        <v/>
      </c>
      <c r="N39" s="1"/>
    </row>
    <row r="40" spans="1:14" ht="9" customHeight="1">
      <c r="A40" s="285"/>
      <c r="B40" s="283"/>
      <c r="C40" s="284"/>
      <c r="D40" s="396"/>
      <c r="E40" s="286"/>
      <c r="F40" s="287"/>
      <c r="G40" s="255"/>
      <c r="H40" s="458"/>
      <c r="I40" s="14" t="str">
        <f>IF(Calculations!$AN11&lt;&gt;0, Calculations!AN11, "")</f>
        <v/>
      </c>
      <c r="J40" s="80"/>
      <c r="K40" s="214" t="str">
        <f>IF(Calculations!$AN11&lt;&gt;0, Calculations!AO11, "")</f>
        <v/>
      </c>
      <c r="L40" s="326" t="str">
        <f>IF(Calculations!$AN11&lt;&gt;0, Calculations!AP11, "")</f>
        <v/>
      </c>
      <c r="M40" s="226" t="str">
        <f>IF(Calculations!$AN11&lt;&gt;0, Calculations!AQ11, "")</f>
        <v/>
      </c>
      <c r="N40" s="1"/>
    </row>
    <row r="41" spans="1:14" ht="9" customHeight="1">
      <c r="A41" s="285"/>
      <c r="B41" s="283"/>
      <c r="C41" s="284"/>
      <c r="D41" s="396"/>
      <c r="E41" s="286"/>
      <c r="F41" s="287"/>
      <c r="G41" s="255"/>
      <c r="H41" s="458"/>
      <c r="I41" s="14" t="str">
        <f>IF(Calculations!$AN12&lt;&gt;0, Calculations!AN12, "")</f>
        <v/>
      </c>
      <c r="J41" s="80"/>
      <c r="K41" s="214" t="str">
        <f>IF(Calculations!$AN12&lt;&gt;0, Calculations!AO12, "")</f>
        <v/>
      </c>
      <c r="L41" s="326" t="str">
        <f>IF(Calculations!$AN12&lt;&gt;0, Calculations!AP12, "")</f>
        <v/>
      </c>
      <c r="M41" s="226" t="str">
        <f>IF(Calculations!$AN12&lt;&gt;0, Calculations!AQ12, "")</f>
        <v/>
      </c>
      <c r="N41" s="1"/>
    </row>
    <row r="42" spans="1:14" ht="9" customHeight="1">
      <c r="A42" s="285"/>
      <c r="B42" s="283"/>
      <c r="C42" s="284"/>
      <c r="D42" s="396"/>
      <c r="E42" s="286"/>
      <c r="F42" s="287"/>
      <c r="G42" s="255"/>
      <c r="H42" s="458"/>
      <c r="I42" s="14" t="str">
        <f>IF(Calculations!$AN13&lt;&gt;0, Calculations!AN13, "")</f>
        <v/>
      </c>
      <c r="J42" s="80"/>
      <c r="K42" s="214" t="str">
        <f>IF(Calculations!$AN13&lt;&gt;0, Calculations!AO13, "")</f>
        <v/>
      </c>
      <c r="L42" s="326" t="str">
        <f>IF(Calculations!$AN13&lt;&gt;0, Calculations!AP13, "")</f>
        <v/>
      </c>
      <c r="M42" s="226" t="str">
        <f>IF(Calculations!$AN13&lt;&gt;0, Calculations!AQ13, "")</f>
        <v/>
      </c>
      <c r="N42" s="1"/>
    </row>
    <row r="43" spans="1:14" ht="9" customHeight="1">
      <c r="A43" s="285"/>
      <c r="B43" s="283"/>
      <c r="C43" s="284"/>
      <c r="D43" s="396"/>
      <c r="E43" s="286"/>
      <c r="F43" s="287"/>
      <c r="G43" s="255"/>
      <c r="H43" s="458"/>
      <c r="I43" s="14" t="str">
        <f>IF(Calculations!$AN14&lt;&gt;0, Calculations!AN14, "")</f>
        <v/>
      </c>
      <c r="J43" s="80"/>
      <c r="K43" s="214" t="str">
        <f>IF(Calculations!$AN14&lt;&gt;0, Calculations!AO14, "")</f>
        <v/>
      </c>
      <c r="L43" s="326" t="str">
        <f>IF(Calculations!$AN14&lt;&gt;0, Calculations!AP14, "")</f>
        <v/>
      </c>
      <c r="M43" s="226" t="str">
        <f>IF(Calculations!$AN14&lt;&gt;0, Calculations!AQ14, "")</f>
        <v/>
      </c>
      <c r="N43" s="1"/>
    </row>
    <row r="44" spans="1:14" ht="9" customHeight="1">
      <c r="A44" s="28" t="s">
        <v>74</v>
      </c>
      <c r="B44" s="303" t="s">
        <v>390</v>
      </c>
      <c r="C44" s="3"/>
      <c r="D44" s="3"/>
      <c r="E44" s="3"/>
      <c r="F44" s="3"/>
      <c r="G44" s="4"/>
      <c r="H44" s="458"/>
      <c r="I44" s="14" t="str">
        <f>IF(Calculations!$AN15&lt;&gt;0, Calculations!AN15, "")</f>
        <v/>
      </c>
      <c r="J44" s="80"/>
      <c r="K44" s="214" t="str">
        <f>IF(Calculations!$AN15&lt;&gt;0, Calculations!AO15, "")</f>
        <v/>
      </c>
      <c r="L44" s="326" t="str">
        <f>IF(Calculations!$AN15&lt;&gt;0, Calculations!AP15, "")</f>
        <v/>
      </c>
      <c r="M44" s="226" t="str">
        <f>IF(Calculations!$AN15&lt;&gt;0, Calculations!AQ15, "")</f>
        <v/>
      </c>
      <c r="N44" s="1"/>
    </row>
    <row r="45" spans="1:14" ht="9" customHeight="1">
      <c r="A45" s="274" t="s">
        <v>406</v>
      </c>
      <c r="B45" s="270"/>
      <c r="C45" s="270"/>
      <c r="D45" s="270"/>
      <c r="E45" s="270"/>
      <c r="F45" s="270"/>
      <c r="G45" s="271"/>
      <c r="H45" s="458"/>
      <c r="I45" s="14" t="str">
        <f>IF(Calculations!$AN16&lt;&gt;0, Calculations!AN16, "")</f>
        <v/>
      </c>
      <c r="J45" s="80"/>
      <c r="K45" s="214" t="str">
        <f>IF(Calculations!$AN16&lt;&gt;0, Calculations!AO16, "")</f>
        <v/>
      </c>
      <c r="L45" s="326" t="str">
        <f>IF(Calculations!$AN16&lt;&gt;0, Calculations!AP16, "")</f>
        <v/>
      </c>
      <c r="M45" s="226" t="str">
        <f>IF(Calculations!$AN16&lt;&gt;0, Calculations!AQ16, "")</f>
        <v/>
      </c>
      <c r="N45" s="1"/>
    </row>
    <row r="46" spans="1:14" ht="9" customHeight="1">
      <c r="A46" s="274" t="s">
        <v>656</v>
      </c>
      <c r="B46" s="270"/>
      <c r="C46" s="270"/>
      <c r="D46" s="270"/>
      <c r="E46" s="270"/>
      <c r="F46" s="270"/>
      <c r="G46" s="271"/>
      <c r="H46" s="458"/>
      <c r="I46" s="14" t="str">
        <f>IF(Calculations!$AN17&lt;&gt;0, Calculations!AN17, "")</f>
        <v/>
      </c>
      <c r="J46" s="80"/>
      <c r="K46" s="214" t="str">
        <f>IF(Calculations!$AN17&lt;&gt;0, Calculations!AO17, "")</f>
        <v/>
      </c>
      <c r="L46" s="326" t="str">
        <f>IF(Calculations!$AN17&lt;&gt;0, Calculations!AP17, "")</f>
        <v/>
      </c>
      <c r="M46" s="226" t="str">
        <f>IF(Calculations!$AN17&lt;&gt;0, Calculations!AQ17, "")</f>
        <v/>
      </c>
      <c r="N46" s="1"/>
    </row>
    <row r="47" spans="1:14" ht="9" customHeight="1">
      <c r="A47" s="274" t="s">
        <v>663</v>
      </c>
      <c r="B47" s="270"/>
      <c r="C47" s="270"/>
      <c r="D47" s="270"/>
      <c r="E47" s="270"/>
      <c r="F47" s="270"/>
      <c r="G47" s="271"/>
      <c r="H47" s="458"/>
      <c r="I47" s="14" t="str">
        <f>IF(Calculations!$AN18&lt;&gt;0, Calculations!AN18, "")</f>
        <v/>
      </c>
      <c r="J47" s="80"/>
      <c r="K47" s="214" t="str">
        <f>IF(Calculations!$AN18&lt;&gt;0, Calculations!AO18, "")</f>
        <v/>
      </c>
      <c r="L47" s="326" t="str">
        <f>IF(Calculations!$AN18&lt;&gt;0, Calculations!AP18, "")</f>
        <v/>
      </c>
      <c r="M47" s="226" t="str">
        <f>IF(Calculations!$AN18&lt;&gt;0, Calculations!AQ18, "")</f>
        <v/>
      </c>
      <c r="N47" s="1"/>
    </row>
    <row r="48" spans="1:14" ht="9" customHeight="1">
      <c r="A48" s="274" t="s">
        <v>460</v>
      </c>
      <c r="B48" s="270"/>
      <c r="C48" s="270"/>
      <c r="D48" s="270"/>
      <c r="E48" s="270"/>
      <c r="F48" s="270"/>
      <c r="G48" s="271"/>
      <c r="H48" s="458"/>
      <c r="I48" s="14" t="str">
        <f>IF(Calculations!$AN19&lt;&gt;0, Calculations!AN19, "")</f>
        <v/>
      </c>
      <c r="J48" s="80"/>
      <c r="K48" s="214" t="str">
        <f>IF(Calculations!$AN19&lt;&gt;0, Calculations!AO19, "")</f>
        <v/>
      </c>
      <c r="L48" s="326" t="str">
        <f>IF(Calculations!$AN19&lt;&gt;0, Calculations!AP19, "")</f>
        <v/>
      </c>
      <c r="M48" s="226" t="str">
        <f>IF(Calculations!$AN19&lt;&gt;0, Calculations!AQ19, "")</f>
        <v/>
      </c>
      <c r="N48" s="1"/>
    </row>
    <row r="49" spans="1:14" ht="9" customHeight="1">
      <c r="A49" s="274" t="s">
        <v>461</v>
      </c>
      <c r="B49" s="270"/>
      <c r="C49" s="270"/>
      <c r="D49" s="270"/>
      <c r="E49" s="270"/>
      <c r="F49" s="270"/>
      <c r="G49" s="271"/>
      <c r="H49" s="458"/>
      <c r="I49" s="14" t="str">
        <f>IF(Calculations!$AN20&lt;&gt;0, Calculations!AN20, "")</f>
        <v/>
      </c>
      <c r="J49" s="80"/>
      <c r="K49" s="214" t="str">
        <f>IF(Calculations!$AN20&lt;&gt;0, Calculations!AO20, "")</f>
        <v/>
      </c>
      <c r="L49" s="326" t="str">
        <f>IF(Calculations!$AN20&lt;&gt;0, Calculations!AP20, "")</f>
        <v/>
      </c>
      <c r="M49" s="226" t="str">
        <f>IF(Calculations!$AN20&lt;&gt;0, Calculations!AQ20, "")</f>
        <v/>
      </c>
      <c r="N49" s="1"/>
    </row>
    <row r="50" spans="1:14" ht="9" customHeight="1">
      <c r="A50" s="274" t="s">
        <v>664</v>
      </c>
      <c r="B50" s="270"/>
      <c r="C50" s="270"/>
      <c r="D50" s="270"/>
      <c r="E50" s="270"/>
      <c r="F50" s="270"/>
      <c r="G50" s="271"/>
      <c r="H50" s="458"/>
      <c r="I50" s="14" t="str">
        <f>IF(Calculations!$AN21&lt;&gt;0, Calculations!AN21, "")</f>
        <v/>
      </c>
      <c r="J50" s="80"/>
      <c r="K50" s="214" t="str">
        <f>IF(Calculations!$AN21&lt;&gt;0, Calculations!AO21, "")</f>
        <v/>
      </c>
      <c r="L50" s="326" t="str">
        <f>IF(Calculations!$AN21&lt;&gt;0, Calculations!AP21, "")</f>
        <v/>
      </c>
      <c r="M50" s="226" t="str">
        <f>IF(Calculations!$AN21&lt;&gt;0, Calculations!AQ21, "")</f>
        <v/>
      </c>
      <c r="N50" s="1"/>
    </row>
    <row r="51" spans="1:14" ht="9" customHeight="1">
      <c r="A51" s="274" t="s">
        <v>407</v>
      </c>
      <c r="B51" s="270"/>
      <c r="C51" s="270"/>
      <c r="D51" s="270"/>
      <c r="E51" s="270"/>
      <c r="F51" s="270"/>
      <c r="G51" s="271"/>
      <c r="H51" s="459"/>
      <c r="I51" s="14" t="str">
        <f>IF(Calculations!$AN22&lt;&gt;0, Calculations!AN22, "")</f>
        <v/>
      </c>
      <c r="J51" s="80"/>
      <c r="K51" s="214" t="str">
        <f>IF(Calculations!$AN22&lt;&gt;0, Calculations!AO22, "")</f>
        <v/>
      </c>
      <c r="L51" s="326" t="str">
        <f>IF(Calculations!$AN22&lt;&gt;0, Calculations!AP22, "")</f>
        <v/>
      </c>
      <c r="M51" s="226" t="str">
        <f>IF(Calculations!$AN22&lt;&gt;0, Calculations!AQ22, "")</f>
        <v/>
      </c>
      <c r="N51" s="1"/>
    </row>
    <row r="52" spans="1:14" ht="9" customHeight="1">
      <c r="A52" s="274" t="s">
        <v>408</v>
      </c>
      <c r="B52" s="270"/>
      <c r="C52" s="270"/>
      <c r="D52" s="270"/>
      <c r="E52" s="270"/>
      <c r="F52" s="270"/>
      <c r="G52" s="271"/>
      <c r="H52" s="39">
        <v>7</v>
      </c>
      <c r="I52" s="19" t="s">
        <v>43</v>
      </c>
      <c r="J52" s="30"/>
      <c r="K52" s="69">
        <f>Calculations!I3</f>
        <v>5920</v>
      </c>
      <c r="L52" s="69">
        <f>Calculations!J3</f>
        <v>20061</v>
      </c>
      <c r="M52" s="132">
        <f>Constants!E7</f>
        <v>0</v>
      </c>
      <c r="N52" s="1"/>
    </row>
    <row r="53" spans="1:14" ht="9" customHeight="1">
      <c r="A53" s="274" t="s">
        <v>744</v>
      </c>
      <c r="B53" s="270"/>
      <c r="C53" s="270"/>
      <c r="D53" s="270"/>
      <c r="E53" s="270"/>
      <c r="F53" s="270"/>
      <c r="G53" s="271"/>
      <c r="H53" s="11"/>
      <c r="I53" s="28" t="s">
        <v>44</v>
      </c>
      <c r="J53" s="34"/>
      <c r="K53" s="69">
        <f>Calculations!AZ29</f>
        <v>7072</v>
      </c>
      <c r="L53" s="132">
        <f>Calculations!BA29</f>
        <v>21653</v>
      </c>
      <c r="M53" s="132">
        <f>Calculations!BD29</f>
        <v>0</v>
      </c>
      <c r="N53" s="1"/>
    </row>
    <row r="54" spans="1:14" s="1" customFormat="1" ht="9" customHeight="1">
      <c r="A54" s="274" t="s">
        <v>745</v>
      </c>
      <c r="B54" s="270"/>
      <c r="C54" s="270"/>
      <c r="D54" s="270"/>
      <c r="E54" s="270"/>
      <c r="F54" s="270"/>
      <c r="G54" s="271"/>
      <c r="H54" s="39">
        <v>9</v>
      </c>
      <c r="I54" s="28" t="s">
        <v>29</v>
      </c>
      <c r="J54" s="34"/>
      <c r="K54" s="249">
        <f>SUM(K30:K53)</f>
        <v>40061</v>
      </c>
      <c r="L54" s="327">
        <f>SUM(L30:L53)</f>
        <v>129138.95225</v>
      </c>
      <c r="M54" s="228">
        <f>SUM(M30:M53)</f>
        <v>137.40275499999984</v>
      </c>
    </row>
    <row r="55" spans="1:14" s="1" customFormat="1" ht="9" customHeight="1">
      <c r="A55" s="274" t="s">
        <v>746</v>
      </c>
      <c r="B55" s="270"/>
      <c r="C55" s="270"/>
      <c r="D55" s="270"/>
      <c r="E55" s="270"/>
      <c r="F55" s="270"/>
      <c r="G55" s="271"/>
      <c r="H55" s="23">
        <v>10</v>
      </c>
      <c r="I55" s="19" t="s">
        <v>45</v>
      </c>
      <c r="J55" s="38"/>
      <c r="K55" s="250"/>
      <c r="L55" s="251">
        <f>Percent_MAC(L54,K54,Constants!$A$3,Constants!$B$3)</f>
        <v>0.36252788610296283</v>
      </c>
      <c r="M55" s="71"/>
    </row>
    <row r="56" spans="1:14" s="1" customFormat="1" ht="9" customHeight="1">
      <c r="A56" s="274"/>
      <c r="B56" s="270"/>
      <c r="C56" s="270"/>
      <c r="D56" s="270"/>
      <c r="E56" s="270"/>
      <c r="F56" s="270"/>
      <c r="G56" s="271"/>
      <c r="H56" s="39">
        <v>11</v>
      </c>
      <c r="I56" s="36" t="s">
        <v>46</v>
      </c>
      <c r="J56" s="35"/>
      <c r="K56" s="73">
        <f>Calculations!CB3</f>
        <v>-723</v>
      </c>
      <c r="L56" s="73">
        <f>Calculations!CC3</f>
        <v>-2310.9971999999998</v>
      </c>
      <c r="M56" s="69"/>
    </row>
    <row r="57" spans="1:14" s="1" customFormat="1" ht="9" customHeight="1">
      <c r="A57" s="274"/>
      <c r="B57" s="270"/>
      <c r="C57" s="270"/>
      <c r="D57" s="270"/>
      <c r="E57" s="270"/>
      <c r="F57" s="270"/>
      <c r="G57" s="271"/>
      <c r="H57" s="2"/>
      <c r="I57" s="19" t="s">
        <v>47</v>
      </c>
      <c r="J57" s="30"/>
      <c r="K57" s="69"/>
      <c r="L57" s="69">
        <f>Calculations!K3</f>
        <v>-214</v>
      </c>
      <c r="M57" s="69"/>
    </row>
    <row r="58" spans="1:14" s="1" customFormat="1" ht="9" customHeight="1">
      <c r="A58" s="274"/>
      <c r="B58" s="270"/>
      <c r="C58" s="270"/>
      <c r="D58" s="270"/>
      <c r="E58" s="270"/>
      <c r="F58" s="270"/>
      <c r="G58" s="271"/>
      <c r="H58" s="39">
        <v>12</v>
      </c>
      <c r="I58" s="28" t="s">
        <v>48</v>
      </c>
      <c r="J58" s="34"/>
      <c r="K58" s="252">
        <f>SUM(K54:K57)</f>
        <v>39338</v>
      </c>
      <c r="L58" s="328">
        <f>SUM(L54,L56:L57)</f>
        <v>126613.95505</v>
      </c>
      <c r="M58" s="69"/>
    </row>
    <row r="59" spans="1:14" s="1" customFormat="1" ht="9" customHeight="1">
      <c r="A59" s="275"/>
      <c r="B59" s="272"/>
      <c r="C59" s="272"/>
      <c r="D59" s="272"/>
      <c r="E59" s="272"/>
      <c r="F59" s="272"/>
      <c r="G59" s="273"/>
      <c r="H59" s="23">
        <v>13</v>
      </c>
      <c r="I59" s="19" t="s">
        <v>49</v>
      </c>
      <c r="J59" s="38"/>
      <c r="K59" s="250"/>
      <c r="L59" s="251">
        <f>Percent_MAC(L58,K58,Constants!$A$3,Constants!$B$3)</f>
        <v>0.35889059731399159</v>
      </c>
      <c r="M59" s="71"/>
    </row>
    <row r="60" spans="1:14" s="1" customFormat="1" ht="9" customHeight="1">
      <c r="A60" s="439" t="s">
        <v>56</v>
      </c>
      <c r="B60" s="440"/>
      <c r="C60" s="440"/>
      <c r="D60" s="440"/>
      <c r="E60" s="440"/>
      <c r="F60" s="440"/>
      <c r="G60" s="441"/>
      <c r="H60" s="33">
        <v>14</v>
      </c>
      <c r="I60" s="36" t="s">
        <v>50</v>
      </c>
      <c r="J60" s="35"/>
      <c r="K60" s="73">
        <f>-SUM(K52:K53,K56)</f>
        <v>-12269</v>
      </c>
      <c r="L60" s="73">
        <f>-SUM(L52:L53,L56)</f>
        <v>-39403.002800000002</v>
      </c>
      <c r="M60" s="69"/>
    </row>
    <row r="61" spans="1:14" s="1" customFormat="1" ht="9" customHeight="1">
      <c r="A61" s="437" t="s">
        <v>57</v>
      </c>
      <c r="B61" s="438"/>
      <c r="C61" s="437" t="s">
        <v>58</v>
      </c>
      <c r="D61" s="442"/>
      <c r="E61" s="442"/>
      <c r="F61" s="442"/>
      <c r="G61" s="438"/>
      <c r="H61" s="2"/>
      <c r="I61" s="19" t="s">
        <v>51</v>
      </c>
      <c r="J61" s="30"/>
      <c r="K61" s="69">
        <f>-Calculations!AO46</f>
        <v>0</v>
      </c>
      <c r="L61" s="132">
        <f>-Calculations!AP46</f>
        <v>0</v>
      </c>
      <c r="M61" s="132">
        <f>Calculations!AQ46</f>
        <v>0</v>
      </c>
    </row>
    <row r="62" spans="1:14" s="1" customFormat="1" ht="9" customHeight="1">
      <c r="A62" s="435">
        <f>Calculations!L3</f>
        <v>42300</v>
      </c>
      <c r="B62" s="436"/>
      <c r="C62" s="435">
        <f>Calculations!M3</f>
        <v>42300</v>
      </c>
      <c r="D62" s="460"/>
      <c r="E62" s="460"/>
      <c r="F62" s="460"/>
      <c r="G62" s="436"/>
      <c r="I62" s="19" t="s">
        <v>52</v>
      </c>
      <c r="J62" s="30"/>
      <c r="K62" s="69"/>
      <c r="L62" s="69">
        <f>-Calculations!K3</f>
        <v>214</v>
      </c>
      <c r="M62" s="69"/>
    </row>
    <row r="63" spans="1:14" s="1" customFormat="1" ht="9" customHeight="1">
      <c r="A63" s="437" t="s">
        <v>59</v>
      </c>
      <c r="B63" s="438"/>
      <c r="C63" s="455" t="s">
        <v>61</v>
      </c>
      <c r="D63" s="456"/>
      <c r="E63" s="456"/>
      <c r="F63" s="455" t="s">
        <v>62</v>
      </c>
      <c r="G63" s="457"/>
      <c r="H63" s="33">
        <v>15</v>
      </c>
      <c r="I63" s="19" t="s">
        <v>53</v>
      </c>
      <c r="J63" s="30"/>
      <c r="K63" s="69">
        <f>Constants!G7</f>
        <v>1000</v>
      </c>
      <c r="L63" s="69">
        <f>Calculations!E3</f>
        <v>3532</v>
      </c>
      <c r="M63" s="69"/>
    </row>
    <row r="64" spans="1:14" s="1" customFormat="1" ht="9" customHeight="1">
      <c r="A64" s="461" t="s">
        <v>60</v>
      </c>
      <c r="B64" s="462"/>
      <c r="C64" s="447" t="str">
        <f>CONCATENATE(TEXT(Configurator!C46,"0.0%"), " GD")</f>
        <v>32.0% GD</v>
      </c>
      <c r="D64" s="451"/>
      <c r="E64" s="452"/>
      <c r="F64" s="447" t="str">
        <f>CONCATENATE(TEXT(Configurator!H46, "0.0%"), " GU")</f>
        <v>41.0% GU</v>
      </c>
      <c r="G64" s="452"/>
      <c r="H64" s="33">
        <v>16</v>
      </c>
      <c r="I64" s="28" t="s">
        <v>54</v>
      </c>
      <c r="J64" s="34"/>
      <c r="K64" s="252">
        <f>SUM(K58:K63)</f>
        <v>28069</v>
      </c>
      <c r="L64" s="328">
        <f>SUM(L58,L60:L63)</f>
        <v>90956.952250000002</v>
      </c>
      <c r="M64" s="69"/>
    </row>
    <row r="65" spans="1:17" s="1" customFormat="1" ht="9" customHeight="1">
      <c r="A65" s="437" t="s">
        <v>59</v>
      </c>
      <c r="B65" s="438"/>
      <c r="C65" s="455" t="s">
        <v>61</v>
      </c>
      <c r="D65" s="456"/>
      <c r="E65" s="456"/>
      <c r="F65" s="455" t="s">
        <v>62</v>
      </c>
      <c r="G65" s="457"/>
      <c r="H65" s="27">
        <v>17</v>
      </c>
      <c r="I65" s="28" t="s">
        <v>55</v>
      </c>
      <c r="J65" s="40"/>
      <c r="K65" s="3"/>
      <c r="L65" s="253">
        <f>Percent_MAC(L64,K64,Constants!$A$3,Constants!$B$3)</f>
        <v>0.37498315583451358</v>
      </c>
      <c r="M65" s="2"/>
    </row>
    <row r="66" spans="1:17" s="1" customFormat="1" ht="9" customHeight="1">
      <c r="A66" s="449" t="s">
        <v>63</v>
      </c>
      <c r="B66" s="450"/>
      <c r="C66" s="447" t="str">
        <f>CONCATENATE(TEXT(Configurator!I46,"0.0%"), " GD")</f>
        <v>25.0% GD</v>
      </c>
      <c r="D66" s="451"/>
      <c r="E66" s="452"/>
      <c r="F66" s="447" t="str">
        <f>CONCATENATE(TEXT(Configurator!K46, "0.0%"), " GD")</f>
        <v>42.5% GD</v>
      </c>
      <c r="G66" s="448"/>
      <c r="H66" s="446" t="s">
        <v>64</v>
      </c>
      <c r="I66" s="445"/>
      <c r="J66" s="32"/>
      <c r="K66" s="72"/>
      <c r="L66" s="77">
        <f>K54</f>
        <v>40061</v>
      </c>
      <c r="M66" s="71" t="str">
        <f>CONCATENATE("&lt;   ",A62)</f>
        <v>&lt;   42300</v>
      </c>
    </row>
    <row r="67" spans="1:17" s="1" customFormat="1" ht="9" customHeight="1">
      <c r="A67" s="28" t="s">
        <v>72</v>
      </c>
      <c r="B67" s="3"/>
      <c r="C67" s="3"/>
      <c r="D67" s="3"/>
      <c r="E67" s="3"/>
      <c r="F67" s="3"/>
      <c r="G67" s="4"/>
      <c r="H67" s="446" t="s">
        <v>65</v>
      </c>
      <c r="I67" s="445"/>
      <c r="J67" s="32"/>
      <c r="K67" s="65" t="str">
        <f>CONCATENATE(LEFT(C64,5),"  &lt;")</f>
        <v>32.0%  &lt;</v>
      </c>
      <c r="L67" s="78">
        <f>L55</f>
        <v>0.36252788610296283</v>
      </c>
      <c r="M67" s="71" t="str">
        <f>CONCATENATE("&lt;   ",LEFT(F66,5))</f>
        <v>&lt;   42.5%</v>
      </c>
    </row>
    <row r="68" spans="1:17" s="1" customFormat="1" ht="9" customHeight="1">
      <c r="A68" s="5"/>
      <c r="G68" s="7"/>
      <c r="H68" s="446" t="s">
        <v>66</v>
      </c>
      <c r="I68" s="445"/>
      <c r="J68" s="32"/>
      <c r="K68" s="65" t="str">
        <f>CONCATENATE(LEFT(C66,5),"  &lt;")</f>
        <v>25.0%  &lt;</v>
      </c>
      <c r="L68" s="78">
        <f>L59</f>
        <v>0.35889059731399159</v>
      </c>
      <c r="M68" s="71" t="str">
        <f>CONCATENATE("&lt;   ",LEFT(F64,5))</f>
        <v>&lt;   41.0%</v>
      </c>
    </row>
    <row r="69" spans="1:17" s="1" customFormat="1" ht="9" customHeight="1">
      <c r="A69" s="28" t="s">
        <v>73</v>
      </c>
      <c r="B69" s="3"/>
      <c r="C69" s="3"/>
      <c r="D69" s="3"/>
      <c r="E69" s="3"/>
      <c r="F69" s="3"/>
      <c r="G69" s="4"/>
      <c r="H69" s="446" t="s">
        <v>67</v>
      </c>
      <c r="I69" s="445"/>
      <c r="J69" s="32"/>
      <c r="K69" s="65" t="str">
        <f>CONCATENATE(LEFT(C66,5),"  &lt;")</f>
        <v>25.0%  &lt;</v>
      </c>
      <c r="L69" s="78">
        <f>L65</f>
        <v>0.37498315583451358</v>
      </c>
      <c r="M69" s="71" t="str">
        <f>CONCATENATE("&lt;   ",LEFT(F66,5))</f>
        <v>&lt;   42.5%</v>
      </c>
    </row>
    <row r="70" spans="1:17" s="1" customFormat="1" ht="9" customHeight="1">
      <c r="A70" s="9"/>
      <c r="B70" s="10"/>
      <c r="C70" s="10"/>
      <c r="D70" s="10"/>
      <c r="E70" s="10"/>
      <c r="F70" s="10"/>
      <c r="G70" s="11"/>
      <c r="H70" s="446" t="s">
        <v>68</v>
      </c>
      <c r="I70" s="445"/>
      <c r="J70" s="32"/>
      <c r="K70" s="75" t="str">
        <f>CONCATENATE(TEXT(Configurator!L46,"0.0%"),"  &lt;")</f>
        <v>25.7%  &lt;</v>
      </c>
      <c r="L70" s="79">
        <v>0.33895794141986002</v>
      </c>
      <c r="M70" s="71"/>
    </row>
    <row r="71" spans="1:17" s="1" customFormat="1" ht="9" customHeight="1">
      <c r="A71" s="28" t="s">
        <v>71</v>
      </c>
      <c r="B71" s="3"/>
      <c r="C71" s="3"/>
      <c r="D71" s="3"/>
      <c r="E71" s="3"/>
      <c r="F71" s="3"/>
      <c r="G71" s="4"/>
      <c r="H71" s="444" t="s">
        <v>69</v>
      </c>
      <c r="I71" s="445"/>
      <c r="J71" s="32"/>
      <c r="K71" s="72"/>
      <c r="L71" s="79">
        <v>0.3931553950690243</v>
      </c>
      <c r="M71" s="71" t="str">
        <f>CONCATENATE("&lt;   ",TEXT(Configurator!O46,"0.0%"))</f>
        <v>&lt;   41.0%</v>
      </c>
    </row>
    <row r="72" spans="1:17" s="1" customFormat="1" ht="9" customHeight="1">
      <c r="A72" s="9"/>
      <c r="B72" s="10"/>
      <c r="C72" s="10"/>
      <c r="D72" s="10"/>
      <c r="E72" s="10"/>
      <c r="F72" s="10"/>
      <c r="G72" s="11"/>
      <c r="H72" s="444" t="s">
        <v>70</v>
      </c>
      <c r="I72" s="445"/>
      <c r="J72" s="32"/>
      <c r="K72" s="72" t="str">
        <f>IF(L72&lt;&gt;0, IF(M54&lt;0, "LEFT", "RIGHT"), "")</f>
        <v>RIGHT</v>
      </c>
      <c r="L72" s="254">
        <f>ABS(M54)</f>
        <v>137.40275499999984</v>
      </c>
      <c r="M72" s="71" t="str">
        <f>CONCATENATE("&lt;   ",TEXT(Calculations!CK7,"0"))</f>
        <v>&lt;   2362</v>
      </c>
      <c r="P72" s="6"/>
      <c r="Q72" s="6"/>
    </row>
    <row r="73" spans="1:17" s="1" customFormat="1">
      <c r="I73"/>
      <c r="J73" s="443" t="str">
        <f>CONCATENATE("416th Automated Form F Editor v", Sheet_Version())</f>
        <v>416th Automated Form F Editor v7.5</v>
      </c>
      <c r="K73" s="443"/>
      <c r="L73" s="443"/>
      <c r="M73" s="443"/>
      <c r="P73" s="6"/>
      <c r="Q73" s="6"/>
    </row>
    <row r="74" spans="1:17" s="1" customFormat="1">
      <c r="A74" s="37"/>
      <c r="D74" s="41"/>
      <c r="J74" s="12"/>
      <c r="P74" s="6"/>
      <c r="Q74" s="6"/>
    </row>
    <row r="75" spans="1:17" s="1" customFormat="1">
      <c r="A75" s="42"/>
      <c r="D75" s="41"/>
      <c r="J75" s="12"/>
    </row>
    <row r="76" spans="1:17" s="1" customFormat="1">
      <c r="A76" s="43"/>
      <c r="D76" s="41"/>
      <c r="J76" s="12"/>
      <c r="P76" s="8"/>
      <c r="Q76" s="8"/>
    </row>
    <row r="77" spans="1:17" s="1" customFormat="1">
      <c r="A77" s="44"/>
      <c r="D77" s="41"/>
      <c r="J77" s="12"/>
      <c r="P77" s="6"/>
      <c r="Q77" s="6"/>
    </row>
    <row r="78" spans="1:17" s="1" customFormat="1">
      <c r="I78" s="25"/>
      <c r="J78" s="12"/>
      <c r="K78" s="12"/>
      <c r="L78" s="12"/>
      <c r="M78" s="12"/>
    </row>
    <row r="79" spans="1:17" s="1" customFormat="1">
      <c r="I79" s="12"/>
      <c r="J79" s="12"/>
      <c r="K79" s="12"/>
      <c r="L79" s="12"/>
      <c r="M79" s="12"/>
    </row>
    <row r="80" spans="1:17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pans="1:13" s="1" customFormat="1"/>
    <row r="354" spans="1:13" s="1" customFormat="1"/>
    <row r="355" spans="1:13" s="1" customFormat="1"/>
    <row r="356" spans="1:13" s="1" customFormat="1"/>
    <row r="357" spans="1:13" s="1" customFormat="1"/>
    <row r="358" spans="1:13" s="1" customFormat="1"/>
    <row r="359" spans="1:13" s="1" customFormat="1"/>
    <row r="360" spans="1:1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</row>
    <row r="361" spans="1:1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</row>
    <row r="362" spans="1:1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</row>
    <row r="363" spans="1:1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</row>
    <row r="364" spans="1:1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</row>
    <row r="365" spans="1:1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</row>
    <row r="366" spans="1:1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</row>
    <row r="367" spans="1:1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</row>
    <row r="368" spans="1:1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</row>
    <row r="369" spans="1:1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</row>
    <row r="370" spans="1:1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</row>
    <row r="371" spans="1:1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</row>
    <row r="372" spans="1:1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</row>
    <row r="373" spans="1:1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</row>
    <row r="374" spans="1:1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</row>
  </sheetData>
  <dataConsolidate/>
  <mergeCells count="77">
    <mergeCell ref="H8:H29"/>
    <mergeCell ref="A1:M1"/>
    <mergeCell ref="A2:I2"/>
    <mergeCell ref="I5:J5"/>
    <mergeCell ref="A7:G7"/>
    <mergeCell ref="J2:M2"/>
    <mergeCell ref="J3:K3"/>
    <mergeCell ref="J4:K4"/>
    <mergeCell ref="L3:M3"/>
    <mergeCell ref="L4:M4"/>
    <mergeCell ref="A5:G5"/>
    <mergeCell ref="A6:C6"/>
    <mergeCell ref="C3:D3"/>
    <mergeCell ref="E6:F6"/>
    <mergeCell ref="E24:F24"/>
    <mergeCell ref="E26:F26"/>
    <mergeCell ref="H33:H51"/>
    <mergeCell ref="F64:G64"/>
    <mergeCell ref="C62:G62"/>
    <mergeCell ref="E11:F11"/>
    <mergeCell ref="E12:F12"/>
    <mergeCell ref="E20:F20"/>
    <mergeCell ref="A20:C20"/>
    <mergeCell ref="E21:F21"/>
    <mergeCell ref="E22:F22"/>
    <mergeCell ref="A63:B63"/>
    <mergeCell ref="A64:B64"/>
    <mergeCell ref="C63:E63"/>
    <mergeCell ref="F63:G63"/>
    <mergeCell ref="C64:E64"/>
    <mergeCell ref="E15:F15"/>
    <mergeCell ref="A22:C22"/>
    <mergeCell ref="A66:B66"/>
    <mergeCell ref="C66:E66"/>
    <mergeCell ref="A65:B65"/>
    <mergeCell ref="E8:F8"/>
    <mergeCell ref="E10:F10"/>
    <mergeCell ref="A12:C12"/>
    <mergeCell ref="E9:F9"/>
    <mergeCell ref="E13:F13"/>
    <mergeCell ref="A13:C13"/>
    <mergeCell ref="E23:F23"/>
    <mergeCell ref="C65:E65"/>
    <mergeCell ref="F65:G65"/>
    <mergeCell ref="A21:C21"/>
    <mergeCell ref="A23:C23"/>
    <mergeCell ref="J73:M73"/>
    <mergeCell ref="H72:I72"/>
    <mergeCell ref="H70:I70"/>
    <mergeCell ref="H69:I69"/>
    <mergeCell ref="F66:G66"/>
    <mergeCell ref="H71:I71"/>
    <mergeCell ref="H66:I66"/>
    <mergeCell ref="H67:I67"/>
    <mergeCell ref="H68:I68"/>
    <mergeCell ref="A26:C26"/>
    <mergeCell ref="E27:F27"/>
    <mergeCell ref="A27:C27"/>
    <mergeCell ref="E28:F28"/>
    <mergeCell ref="A62:B62"/>
    <mergeCell ref="A61:B61"/>
    <mergeCell ref="A60:G60"/>
    <mergeCell ref="C61:G61"/>
    <mergeCell ref="A28:C28"/>
    <mergeCell ref="E29:F29"/>
    <mergeCell ref="E14:F14"/>
    <mergeCell ref="A24:C24"/>
    <mergeCell ref="E25:F25"/>
    <mergeCell ref="A14:C14"/>
    <mergeCell ref="A25:C25"/>
    <mergeCell ref="A15:C15"/>
    <mergeCell ref="E16:F16"/>
    <mergeCell ref="A16:C16"/>
    <mergeCell ref="E17:F17"/>
    <mergeCell ref="E18:F18"/>
    <mergeCell ref="A17:C17"/>
    <mergeCell ref="A19:G19"/>
  </mergeCells>
  <pageMargins left="0.7" right="0.7" top="0.75" bottom="0.75" header="0.3" footer="0.3"/>
  <pageSetup orientation="portrait" r:id="rId1"/>
  <ignoredErrors>
    <ignoredError sqref="K68" formula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BQ558"/>
  <sheetViews>
    <sheetView topLeftCell="A499" zoomScaleNormal="100" workbookViewId="0">
      <selection activeCell="N556" sqref="N556"/>
    </sheetView>
  </sheetViews>
  <sheetFormatPr defaultRowHeight="11.25"/>
  <cols>
    <col min="1" max="1" width="9.140625" style="56" customWidth="1"/>
    <col min="2" max="2" width="9.140625" style="187" customWidth="1"/>
    <col min="3" max="4" width="9.140625" style="57"/>
    <col min="5" max="5" width="9.140625" style="58"/>
    <col min="6" max="6" width="9.140625" style="47" customWidth="1"/>
    <col min="7" max="7" width="9.140625" style="188" customWidth="1"/>
    <col min="8" max="9" width="9.140625" style="46"/>
    <col min="10" max="10" width="9.140625" style="59"/>
    <col min="11" max="11" width="9.140625" style="56" customWidth="1"/>
    <col min="12" max="12" width="9.140625" style="187" customWidth="1"/>
    <col min="13" max="14" width="9.140625" style="57"/>
    <col min="15" max="15" width="9.140625" style="58"/>
    <col min="16" max="16" width="9.140625" style="47" customWidth="1"/>
    <col min="17" max="17" width="9.140625" style="188" customWidth="1"/>
    <col min="18" max="19" width="9.140625" style="46"/>
    <col min="20" max="20" width="9.140625" style="59"/>
    <col min="21" max="21" width="9.140625" style="56" customWidth="1"/>
    <col min="22" max="22" width="9.140625" style="187" customWidth="1"/>
    <col min="23" max="24" width="9.140625" style="57"/>
    <col min="25" max="25" width="9.140625" style="58"/>
    <col min="26" max="26" width="9.140625" style="47" customWidth="1"/>
    <col min="27" max="27" width="9.140625" style="188" customWidth="1"/>
    <col min="28" max="29" width="9.140625" style="46"/>
    <col min="30" max="30" width="9.140625" style="59"/>
    <col min="31" max="31" width="9.140625" style="56" customWidth="1"/>
    <col min="32" max="32" width="9.140625" style="187" customWidth="1"/>
    <col min="33" max="34" width="9.140625" style="57"/>
    <col min="35" max="35" width="9.140625" style="58"/>
    <col min="36" max="36" width="9.140625" style="47" customWidth="1"/>
    <col min="37" max="37" width="9.140625" style="188" customWidth="1"/>
    <col min="38" max="39" width="9.140625" style="46"/>
    <col min="40" max="40" width="9.140625" style="59"/>
    <col min="41" max="41" width="9.140625" style="56" customWidth="1"/>
    <col min="42" max="42" width="9.140625" style="187" customWidth="1"/>
    <col min="43" max="44" width="9.140625" style="57"/>
    <col min="45" max="45" width="9.140625" style="58"/>
    <col min="46" max="46" width="9.140625" style="47" customWidth="1"/>
    <col min="47" max="47" width="9.140625" style="188" customWidth="1"/>
    <col min="48" max="49" width="9.140625" style="46"/>
    <col min="50" max="50" width="9.140625" style="59"/>
    <col min="51" max="51" width="9.140625" style="56" customWidth="1"/>
    <col min="52" max="52" width="9.140625" style="187" customWidth="1"/>
    <col min="53" max="54" width="9.140625" style="57"/>
    <col min="55" max="55" width="9.140625" style="58"/>
    <col min="56" max="56" width="9.140625" style="13" customWidth="1"/>
    <col min="57" max="16384" width="9.140625" style="13"/>
  </cols>
  <sheetData>
    <row r="1" spans="1:69" s="308" customFormat="1" ht="12" thickBot="1">
      <c r="A1" s="489" t="s">
        <v>77</v>
      </c>
      <c r="B1" s="490"/>
      <c r="C1" s="491"/>
      <c r="D1" s="491"/>
      <c r="E1" s="492"/>
      <c r="F1" s="485" t="s">
        <v>78</v>
      </c>
      <c r="G1" s="486"/>
      <c r="H1" s="487"/>
      <c r="I1" s="487"/>
      <c r="J1" s="488"/>
      <c r="K1" s="489" t="s">
        <v>79</v>
      </c>
      <c r="L1" s="490"/>
      <c r="M1" s="491"/>
      <c r="N1" s="491"/>
      <c r="O1" s="492"/>
      <c r="P1" s="485" t="s">
        <v>80</v>
      </c>
      <c r="Q1" s="486"/>
      <c r="R1" s="487"/>
      <c r="S1" s="487"/>
      <c r="T1" s="488"/>
      <c r="Z1" s="485" t="s">
        <v>81</v>
      </c>
      <c r="AA1" s="486"/>
      <c r="AB1" s="487"/>
      <c r="AC1" s="487"/>
      <c r="AD1" s="488"/>
      <c r="AJ1" s="485" t="s">
        <v>82</v>
      </c>
      <c r="AK1" s="486"/>
      <c r="AL1" s="487"/>
      <c r="AM1" s="487"/>
      <c r="AN1" s="488"/>
      <c r="AO1" s="489" t="s">
        <v>83</v>
      </c>
      <c r="AP1" s="490"/>
      <c r="AQ1" s="491"/>
      <c r="AR1" s="491"/>
      <c r="AS1" s="492"/>
      <c r="AT1" s="485" t="s">
        <v>84</v>
      </c>
      <c r="AU1" s="486"/>
      <c r="AV1" s="487"/>
      <c r="AW1" s="487"/>
      <c r="AX1" s="488"/>
      <c r="AY1" s="489" t="s">
        <v>85</v>
      </c>
      <c r="AZ1" s="490"/>
      <c r="BA1" s="491"/>
      <c r="BB1" s="491"/>
      <c r="BC1" s="492"/>
      <c r="BD1" s="493" t="s">
        <v>282</v>
      </c>
      <c r="BE1" s="494"/>
      <c r="BF1" s="494"/>
      <c r="BG1" s="495"/>
      <c r="BH1" s="489" t="s">
        <v>86</v>
      </c>
      <c r="BI1" s="490"/>
      <c r="BJ1" s="491"/>
      <c r="BK1" s="491"/>
      <c r="BL1" s="492"/>
      <c r="BM1" s="489" t="s">
        <v>87</v>
      </c>
      <c r="BN1" s="490"/>
      <c r="BO1" s="491"/>
      <c r="BP1" s="491"/>
      <c r="BQ1" s="492"/>
    </row>
    <row r="2" spans="1:69" s="55" customFormat="1" ht="26.25" customHeight="1" thickBot="1">
      <c r="A2" s="52" t="s">
        <v>2</v>
      </c>
      <c r="B2" s="314" t="s">
        <v>287</v>
      </c>
      <c r="C2" s="50" t="s">
        <v>4</v>
      </c>
      <c r="D2" s="50" t="s">
        <v>76</v>
      </c>
      <c r="E2" s="51" t="s">
        <v>75</v>
      </c>
      <c r="F2" s="52" t="s">
        <v>2</v>
      </c>
      <c r="G2" s="314" t="s">
        <v>287</v>
      </c>
      <c r="H2" s="50" t="s">
        <v>4</v>
      </c>
      <c r="I2" s="50" t="s">
        <v>76</v>
      </c>
      <c r="J2" s="51" t="s">
        <v>75</v>
      </c>
      <c r="K2" s="52" t="s">
        <v>2</v>
      </c>
      <c r="L2" s="314" t="s">
        <v>287</v>
      </c>
      <c r="M2" s="50" t="s">
        <v>4</v>
      </c>
      <c r="N2" s="50" t="s">
        <v>76</v>
      </c>
      <c r="O2" s="51" t="s">
        <v>75</v>
      </c>
      <c r="P2" s="52" t="s">
        <v>2</v>
      </c>
      <c r="Q2" s="314" t="s">
        <v>287</v>
      </c>
      <c r="R2" s="50" t="s">
        <v>4</v>
      </c>
      <c r="S2" s="50" t="s">
        <v>76</v>
      </c>
      <c r="T2" s="51" t="s">
        <v>75</v>
      </c>
      <c r="Z2" s="52" t="s">
        <v>2</v>
      </c>
      <c r="AA2" s="314" t="s">
        <v>287</v>
      </c>
      <c r="AB2" s="50" t="s">
        <v>4</v>
      </c>
      <c r="AC2" s="50" t="s">
        <v>76</v>
      </c>
      <c r="AD2" s="51" t="s">
        <v>75</v>
      </c>
      <c r="AJ2" s="52" t="s">
        <v>2</v>
      </c>
      <c r="AK2" s="314" t="s">
        <v>287</v>
      </c>
      <c r="AL2" s="50" t="s">
        <v>4</v>
      </c>
      <c r="AM2" s="50" t="s">
        <v>76</v>
      </c>
      <c r="AN2" s="51" t="s">
        <v>75</v>
      </c>
      <c r="AO2" s="52" t="s">
        <v>2</v>
      </c>
      <c r="AP2" s="314" t="s">
        <v>287</v>
      </c>
      <c r="AQ2" s="50" t="s">
        <v>4</v>
      </c>
      <c r="AR2" s="50" t="s">
        <v>76</v>
      </c>
      <c r="AS2" s="51" t="s">
        <v>75</v>
      </c>
      <c r="AT2" s="52" t="s">
        <v>2</v>
      </c>
      <c r="AU2" s="314" t="s">
        <v>287</v>
      </c>
      <c r="AV2" s="50" t="s">
        <v>4</v>
      </c>
      <c r="AW2" s="50" t="s">
        <v>76</v>
      </c>
      <c r="AX2" s="51" t="s">
        <v>75</v>
      </c>
      <c r="AY2" s="52" t="s">
        <v>2</v>
      </c>
      <c r="AZ2" s="314" t="s">
        <v>287</v>
      </c>
      <c r="BA2" s="50" t="s">
        <v>4</v>
      </c>
      <c r="BB2" s="50" t="s">
        <v>76</v>
      </c>
      <c r="BC2" s="51" t="s">
        <v>75</v>
      </c>
      <c r="BD2" s="186" t="s">
        <v>2</v>
      </c>
      <c r="BE2" s="53" t="s">
        <v>4</v>
      </c>
      <c r="BF2" s="53" t="s">
        <v>76</v>
      </c>
      <c r="BG2" s="54" t="s">
        <v>75</v>
      </c>
      <c r="BH2" s="52" t="s">
        <v>2</v>
      </c>
      <c r="BI2" s="314" t="s">
        <v>287</v>
      </c>
      <c r="BJ2" s="50" t="s">
        <v>4</v>
      </c>
      <c r="BK2" s="50" t="s">
        <v>76</v>
      </c>
      <c r="BL2" s="51" t="s">
        <v>75</v>
      </c>
      <c r="BM2" s="94" t="s">
        <v>2</v>
      </c>
      <c r="BN2" s="338" t="s">
        <v>287</v>
      </c>
      <c r="BO2" s="95" t="s">
        <v>4</v>
      </c>
      <c r="BP2" s="95" t="s">
        <v>76</v>
      </c>
      <c r="BQ2" s="96" t="s">
        <v>75</v>
      </c>
    </row>
    <row r="3" spans="1:69">
      <c r="A3" s="309"/>
      <c r="B3" s="310"/>
      <c r="C3" s="311"/>
      <c r="D3" s="311"/>
      <c r="E3" s="312"/>
      <c r="F3" s="103"/>
      <c r="G3" s="313"/>
      <c r="H3" s="104"/>
      <c r="I3" s="104"/>
      <c r="J3" s="105"/>
      <c r="K3" s="309"/>
      <c r="L3" s="310"/>
      <c r="M3" s="311"/>
      <c r="N3" s="311"/>
      <c r="O3" s="312"/>
      <c r="P3" s="103"/>
      <c r="Q3" s="313"/>
      <c r="R3" s="104"/>
      <c r="S3" s="104"/>
      <c r="T3" s="105"/>
      <c r="Z3" s="103"/>
      <c r="AA3" s="313"/>
      <c r="AB3" s="104"/>
      <c r="AC3" s="104"/>
      <c r="AD3" s="105"/>
      <c r="AJ3" s="103"/>
      <c r="AK3" s="313"/>
      <c r="AL3" s="104"/>
      <c r="AM3" s="104"/>
      <c r="AN3" s="105"/>
      <c r="AO3" s="309"/>
      <c r="AP3" s="310"/>
      <c r="AQ3" s="311"/>
      <c r="AR3" s="311"/>
      <c r="AS3" s="312"/>
      <c r="AT3" s="103"/>
      <c r="AU3" s="313"/>
      <c r="AV3" s="104"/>
      <c r="AW3" s="104"/>
      <c r="AX3" s="105"/>
      <c r="AY3" s="309"/>
      <c r="AZ3" s="310"/>
      <c r="BA3" s="311"/>
      <c r="BB3" s="311"/>
      <c r="BC3" s="312"/>
      <c r="BD3" s="188"/>
      <c r="BE3" s="46"/>
      <c r="BF3" s="46"/>
      <c r="BG3" s="59"/>
      <c r="BH3" s="309"/>
      <c r="BI3" s="310"/>
      <c r="BJ3" s="311"/>
      <c r="BK3" s="311"/>
      <c r="BL3" s="363"/>
      <c r="BM3" s="364"/>
      <c r="BN3" s="365"/>
      <c r="BO3" s="365"/>
      <c r="BP3" s="365"/>
      <c r="BQ3" s="366"/>
    </row>
    <row r="4" spans="1:69">
      <c r="A4" s="56" t="s">
        <v>602</v>
      </c>
      <c r="B4" s="187" t="s">
        <v>602</v>
      </c>
      <c r="C4" s="57">
        <v>347</v>
      </c>
      <c r="D4" s="167">
        <v>1250.0015699999999</v>
      </c>
      <c r="E4" s="168">
        <v>645.00013000000001</v>
      </c>
      <c r="F4" s="47" t="s">
        <v>419</v>
      </c>
      <c r="G4" s="188" t="s">
        <v>385</v>
      </c>
      <c r="H4" s="169">
        <v>72</v>
      </c>
      <c r="I4" s="46">
        <v>255.74399999999997</v>
      </c>
      <c r="J4" s="59">
        <v>113.04</v>
      </c>
      <c r="K4" s="56" t="s">
        <v>469</v>
      </c>
      <c r="L4" s="187" t="s">
        <v>470</v>
      </c>
      <c r="M4" s="57">
        <v>330</v>
      </c>
      <c r="N4" s="57">
        <v>1118.7</v>
      </c>
      <c r="O4" s="58">
        <v>396</v>
      </c>
      <c r="P4" s="47" t="s">
        <v>464</v>
      </c>
      <c r="Q4" s="47" t="s">
        <v>465</v>
      </c>
      <c r="R4" s="46">
        <v>467</v>
      </c>
      <c r="S4" s="46">
        <v>1484.99929</v>
      </c>
      <c r="T4" s="59">
        <v>331.57</v>
      </c>
      <c r="Z4" s="47" t="s">
        <v>574</v>
      </c>
      <c r="AA4" s="188" t="s">
        <v>574</v>
      </c>
      <c r="AB4" s="46">
        <v>349</v>
      </c>
      <c r="AC4" s="46">
        <v>1091.672</v>
      </c>
      <c r="AD4" s="59">
        <v>0</v>
      </c>
      <c r="AJ4" s="47" t="s">
        <v>464</v>
      </c>
      <c r="AK4" s="188" t="s">
        <v>465</v>
      </c>
      <c r="AL4" s="46">
        <v>467</v>
      </c>
      <c r="AM4" s="46">
        <v>1484.99929</v>
      </c>
      <c r="AN4" s="59">
        <v>331.57</v>
      </c>
      <c r="AO4" s="56" t="s">
        <v>469</v>
      </c>
      <c r="AP4" s="187" t="s">
        <v>470</v>
      </c>
      <c r="AQ4" s="57">
        <v>330</v>
      </c>
      <c r="AR4" s="57">
        <v>1118.7</v>
      </c>
      <c r="AS4" s="58">
        <v>396</v>
      </c>
      <c r="AT4" s="47" t="s">
        <v>419</v>
      </c>
      <c r="AU4" s="188" t="s">
        <v>385</v>
      </c>
      <c r="AV4" s="46">
        <v>72</v>
      </c>
      <c r="AW4" s="46">
        <v>255.74399999999997</v>
      </c>
      <c r="AX4" s="59">
        <v>113.04</v>
      </c>
      <c r="AY4" s="56" t="s">
        <v>602</v>
      </c>
      <c r="AZ4" s="187" t="s">
        <v>602</v>
      </c>
      <c r="BA4" s="57">
        <v>347</v>
      </c>
      <c r="BB4" s="57">
        <v>1250.0015699999999</v>
      </c>
      <c r="BC4" s="168">
        <v>645.00013000000001</v>
      </c>
      <c r="BD4" s="334" t="s">
        <v>383</v>
      </c>
      <c r="BE4" s="46">
        <v>17</v>
      </c>
      <c r="BF4" s="46">
        <v>78</v>
      </c>
      <c r="BG4" s="59">
        <v>0</v>
      </c>
      <c r="BH4" s="56" t="s">
        <v>362</v>
      </c>
      <c r="BI4" s="187" t="s">
        <v>362</v>
      </c>
      <c r="BJ4" s="57">
        <v>41</v>
      </c>
      <c r="BK4" s="57">
        <v>80</v>
      </c>
      <c r="BL4" s="330">
        <f xml:space="preserve"> -23.1 * BJ4 / 100</f>
        <v>-9.4710000000000001</v>
      </c>
      <c r="BM4" s="56" t="s">
        <v>364</v>
      </c>
      <c r="BN4" s="57" t="s">
        <v>364</v>
      </c>
      <c r="BO4" s="57">
        <v>42</v>
      </c>
      <c r="BP4" s="57">
        <v>88</v>
      </c>
      <c r="BQ4" s="58">
        <f>23 *BO4 / 100</f>
        <v>9.66</v>
      </c>
    </row>
    <row r="5" spans="1:69">
      <c r="A5" s="56" t="s">
        <v>603</v>
      </c>
      <c r="B5" s="187" t="s">
        <v>603</v>
      </c>
      <c r="C5" s="57">
        <v>166</v>
      </c>
      <c r="D5" s="167">
        <v>602.74600000000009</v>
      </c>
      <c r="E5" s="168">
        <v>313.90600000000001</v>
      </c>
      <c r="F5" s="47" t="s">
        <v>418</v>
      </c>
      <c r="G5" s="188" t="s">
        <v>386</v>
      </c>
      <c r="H5" s="169">
        <v>87</v>
      </c>
      <c r="I5" s="46">
        <v>310.15499999999997</v>
      </c>
      <c r="J5" s="59">
        <v>136.59</v>
      </c>
      <c r="K5" s="56" t="s">
        <v>471</v>
      </c>
      <c r="L5" s="187" t="s">
        <v>472</v>
      </c>
      <c r="M5" s="57">
        <v>276</v>
      </c>
      <c r="N5" s="57">
        <v>934.81200000000001</v>
      </c>
      <c r="O5" s="58">
        <v>331.2</v>
      </c>
      <c r="Z5" s="47" t="s">
        <v>575</v>
      </c>
      <c r="AA5" s="188" t="s">
        <v>575</v>
      </c>
      <c r="AB5" s="46">
        <v>345</v>
      </c>
      <c r="AC5" s="46">
        <v>1081.2299999999998</v>
      </c>
      <c r="AD5" s="59">
        <v>0</v>
      </c>
      <c r="AO5" s="56" t="s">
        <v>471</v>
      </c>
      <c r="AP5" s="187" t="s">
        <v>472</v>
      </c>
      <c r="AQ5" s="57">
        <v>276</v>
      </c>
      <c r="AR5" s="57">
        <v>934.81200000000001</v>
      </c>
      <c r="AS5" s="58">
        <v>331.2</v>
      </c>
      <c r="AT5" s="47" t="s">
        <v>418</v>
      </c>
      <c r="AU5" s="188" t="s">
        <v>386</v>
      </c>
      <c r="AV5" s="46">
        <v>87</v>
      </c>
      <c r="AW5" s="46">
        <v>310.15499999999997</v>
      </c>
      <c r="AX5" s="59">
        <v>136.59</v>
      </c>
      <c r="AY5" s="56" t="s">
        <v>603</v>
      </c>
      <c r="AZ5" s="187" t="s">
        <v>603</v>
      </c>
      <c r="BA5" s="57">
        <v>166</v>
      </c>
      <c r="BB5" s="57">
        <v>602.74600000000009</v>
      </c>
      <c r="BC5" s="168">
        <v>313.90600000000001</v>
      </c>
      <c r="BD5" s="188" t="s">
        <v>382</v>
      </c>
      <c r="BE5" s="46">
        <v>19</v>
      </c>
      <c r="BF5" s="46">
        <v>87</v>
      </c>
      <c r="BG5" s="59">
        <v>0</v>
      </c>
      <c r="BH5" s="56" t="s">
        <v>363</v>
      </c>
      <c r="BI5" s="187" t="s">
        <v>363</v>
      </c>
      <c r="BJ5" s="57">
        <f>113+BJ4</f>
        <v>154</v>
      </c>
      <c r="BK5" s="57">
        <f>213+BK4</f>
        <v>293</v>
      </c>
      <c r="BL5" s="330">
        <f xml:space="preserve"> -23.1 *BJ5 / 100</f>
        <v>-35.573999999999998</v>
      </c>
      <c r="BM5" s="56" t="s">
        <v>365</v>
      </c>
      <c r="BN5" s="57" t="s">
        <v>370</v>
      </c>
      <c r="BO5" s="57">
        <f>553+BO4</f>
        <v>595</v>
      </c>
      <c r="BP5" s="57">
        <f>1179+BP4</f>
        <v>1267</v>
      </c>
      <c r="BQ5" s="58">
        <f xml:space="preserve"> 23.0929 * BO5 / 100</f>
        <v>137.40275499999998</v>
      </c>
    </row>
    <row r="6" spans="1:69">
      <c r="A6" s="56" t="s">
        <v>604</v>
      </c>
      <c r="B6" s="187" t="s">
        <v>604</v>
      </c>
      <c r="C6" s="57">
        <v>178</v>
      </c>
      <c r="D6" s="167">
        <v>647.91999999999996</v>
      </c>
      <c r="E6" s="168">
        <v>336.59799999999996</v>
      </c>
      <c r="H6" s="169"/>
      <c r="K6" s="56" t="s">
        <v>473</v>
      </c>
      <c r="L6" s="187" t="s">
        <v>473</v>
      </c>
      <c r="M6" s="57">
        <v>262</v>
      </c>
      <c r="N6" s="57">
        <v>888.70399999999995</v>
      </c>
      <c r="O6" s="58">
        <v>314.39999999999998</v>
      </c>
      <c r="Z6" s="47" t="s">
        <v>657</v>
      </c>
      <c r="AA6" s="188" t="s">
        <v>657</v>
      </c>
      <c r="AB6" s="46">
        <v>383</v>
      </c>
      <c r="AC6" s="46">
        <v>1248.0016700000001</v>
      </c>
      <c r="AD6" s="59">
        <v>0</v>
      </c>
      <c r="AO6" s="56" t="s">
        <v>473</v>
      </c>
      <c r="AP6" s="187" t="s">
        <v>473</v>
      </c>
      <c r="AQ6" s="57">
        <v>262</v>
      </c>
      <c r="AR6" s="57">
        <v>888.70399999999995</v>
      </c>
      <c r="AS6" s="58">
        <v>314.39999999999998</v>
      </c>
      <c r="AY6" s="56" t="s">
        <v>604</v>
      </c>
      <c r="AZ6" s="187" t="s">
        <v>604</v>
      </c>
      <c r="BA6" s="57">
        <v>178</v>
      </c>
      <c r="BB6" s="57">
        <v>647.91999999999996</v>
      </c>
      <c r="BC6" s="168">
        <v>336.59799999999996</v>
      </c>
      <c r="BD6" s="188"/>
      <c r="BE6" s="46"/>
      <c r="BF6" s="46"/>
      <c r="BG6" s="59"/>
      <c r="BM6" s="56" t="s">
        <v>366</v>
      </c>
      <c r="BN6" s="57" t="s">
        <v>368</v>
      </c>
      <c r="BO6" s="57">
        <f>437+BO4</f>
        <v>479</v>
      </c>
      <c r="BP6" s="57">
        <f>910+BP4</f>
        <v>998</v>
      </c>
      <c r="BQ6" s="58">
        <f xml:space="preserve"> 23 * BO6 / 100</f>
        <v>110.17</v>
      </c>
    </row>
    <row r="7" spans="1:69">
      <c r="A7" s="56" t="s">
        <v>605</v>
      </c>
      <c r="B7" s="187" t="s">
        <v>605</v>
      </c>
      <c r="C7" s="57">
        <v>195</v>
      </c>
      <c r="D7" s="167">
        <v>710.77499999999998</v>
      </c>
      <c r="E7" s="168">
        <v>368.745</v>
      </c>
      <c r="H7" s="169"/>
      <c r="K7" s="56" t="s">
        <v>474</v>
      </c>
      <c r="L7" s="187" t="s">
        <v>474</v>
      </c>
      <c r="M7" s="57">
        <v>1064</v>
      </c>
      <c r="N7" s="57">
        <v>3610.152</v>
      </c>
      <c r="O7" s="58">
        <v>1276.8</v>
      </c>
      <c r="Z7" s="47" t="s">
        <v>557</v>
      </c>
      <c r="AA7" s="188" t="s">
        <v>558</v>
      </c>
      <c r="AB7" s="46">
        <v>574</v>
      </c>
      <c r="AC7" s="46">
        <v>1771.9379999999999</v>
      </c>
      <c r="AD7" s="59">
        <v>0</v>
      </c>
      <c r="AO7" s="56" t="s">
        <v>474</v>
      </c>
      <c r="AP7" s="187" t="s">
        <v>474</v>
      </c>
      <c r="AQ7" s="57">
        <v>1064</v>
      </c>
      <c r="AR7" s="57">
        <v>3610.152</v>
      </c>
      <c r="AS7" s="58">
        <v>1276.8</v>
      </c>
      <c r="AY7" s="56" t="s">
        <v>605</v>
      </c>
      <c r="AZ7" s="187" t="s">
        <v>605</v>
      </c>
      <c r="BA7" s="57">
        <v>195</v>
      </c>
      <c r="BB7" s="57">
        <v>710.77499999999998</v>
      </c>
      <c r="BC7" s="168">
        <v>368.745</v>
      </c>
      <c r="BD7" s="188"/>
      <c r="BE7" s="46"/>
      <c r="BF7" s="46"/>
      <c r="BG7" s="59"/>
      <c r="BM7" s="56" t="s">
        <v>367</v>
      </c>
      <c r="BN7" s="57" t="s">
        <v>369</v>
      </c>
      <c r="BO7" s="57">
        <f>417+BO4</f>
        <v>459</v>
      </c>
      <c r="BP7" s="57">
        <f>874+BP4</f>
        <v>962</v>
      </c>
      <c r="BQ7" s="58">
        <f>23.0908 * BO7/100</f>
        <v>105.986772</v>
      </c>
    </row>
    <row r="8" spans="1:69" ht="12" thickBot="1">
      <c r="A8" s="56" t="s">
        <v>606</v>
      </c>
      <c r="B8" s="187" t="s">
        <v>606</v>
      </c>
      <c r="C8" s="57">
        <v>186</v>
      </c>
      <c r="D8" s="167">
        <v>678.9</v>
      </c>
      <c r="E8" s="168">
        <v>351.726</v>
      </c>
      <c r="H8" s="169"/>
      <c r="K8" s="56" t="s">
        <v>475</v>
      </c>
      <c r="L8" s="187" t="s">
        <v>476</v>
      </c>
      <c r="M8" s="57">
        <v>2071</v>
      </c>
      <c r="N8" s="57">
        <v>7037.2580000000007</v>
      </c>
      <c r="O8" s="58">
        <v>2485.1999999999998</v>
      </c>
      <c r="Z8" s="47" t="s">
        <v>557</v>
      </c>
      <c r="AA8" s="188" t="s">
        <v>558</v>
      </c>
      <c r="AB8" s="46">
        <v>574</v>
      </c>
      <c r="AC8" s="46">
        <v>1930.9359999999997</v>
      </c>
      <c r="AD8" s="59">
        <v>0</v>
      </c>
      <c r="AO8" s="56" t="s">
        <v>475</v>
      </c>
      <c r="AP8" s="187" t="s">
        <v>476</v>
      </c>
      <c r="AQ8" s="57">
        <v>2071</v>
      </c>
      <c r="AR8" s="57">
        <v>7037.2580000000007</v>
      </c>
      <c r="AS8" s="58">
        <v>2485.1999999999998</v>
      </c>
      <c r="AY8" s="56" t="s">
        <v>606</v>
      </c>
      <c r="AZ8" s="187" t="s">
        <v>606</v>
      </c>
      <c r="BA8" s="57">
        <v>186</v>
      </c>
      <c r="BB8" s="57">
        <v>678.9</v>
      </c>
      <c r="BC8" s="168">
        <v>351.726</v>
      </c>
      <c r="BD8" s="241"/>
      <c r="BE8" s="101"/>
      <c r="BF8" s="101"/>
      <c r="BG8" s="102"/>
      <c r="BM8" s="367" t="s">
        <v>415</v>
      </c>
      <c r="BN8" s="368" t="s">
        <v>416</v>
      </c>
      <c r="BO8" s="368">
        <v>492</v>
      </c>
      <c r="BP8" s="368">
        <v>1028</v>
      </c>
      <c r="BQ8" s="369">
        <v>114</v>
      </c>
    </row>
    <row r="9" spans="1:69">
      <c r="A9" s="56" t="s">
        <v>607</v>
      </c>
      <c r="B9" s="187" t="s">
        <v>607</v>
      </c>
      <c r="C9" s="57">
        <v>339</v>
      </c>
      <c r="D9" s="167">
        <v>1222.095</v>
      </c>
      <c r="E9" s="168">
        <v>643.08299999999997</v>
      </c>
      <c r="H9" s="169"/>
      <c r="K9" s="56" t="s">
        <v>477</v>
      </c>
      <c r="L9" s="187" t="s">
        <v>478</v>
      </c>
      <c r="M9" s="57">
        <v>2064</v>
      </c>
      <c r="N9" s="57">
        <v>7017.6</v>
      </c>
      <c r="O9" s="58">
        <v>2476.8000000000002</v>
      </c>
      <c r="Z9" s="47" t="s">
        <v>561</v>
      </c>
      <c r="AA9" s="188" t="s">
        <v>562</v>
      </c>
      <c r="AB9" s="46">
        <v>614</v>
      </c>
      <c r="AC9" s="46">
        <v>1885.5940000000003</v>
      </c>
      <c r="AD9" s="59">
        <v>0</v>
      </c>
      <c r="AO9" s="56" t="s">
        <v>477</v>
      </c>
      <c r="AP9" s="187" t="s">
        <v>478</v>
      </c>
      <c r="AQ9" s="57">
        <v>2064</v>
      </c>
      <c r="AR9" s="57">
        <v>7017.6</v>
      </c>
      <c r="AS9" s="58">
        <v>2476.8000000000002</v>
      </c>
      <c r="AY9" s="56" t="s">
        <v>607</v>
      </c>
      <c r="AZ9" s="187" t="s">
        <v>607</v>
      </c>
      <c r="BA9" s="57">
        <v>339</v>
      </c>
      <c r="BB9" s="57">
        <v>1222.095</v>
      </c>
      <c r="BC9" s="168">
        <v>643.08299999999997</v>
      </c>
    </row>
    <row r="10" spans="1:69">
      <c r="A10" s="56" t="s">
        <v>608</v>
      </c>
      <c r="B10" s="187" t="s">
        <v>608</v>
      </c>
      <c r="C10" s="57">
        <v>341</v>
      </c>
      <c r="D10" s="167">
        <v>1229.3050000000001</v>
      </c>
      <c r="E10" s="168">
        <v>647.21800000000007</v>
      </c>
      <c r="H10" s="169"/>
      <c r="K10" s="56" t="s">
        <v>479</v>
      </c>
      <c r="L10" s="187" t="s">
        <v>480</v>
      </c>
      <c r="M10" s="57">
        <v>2066</v>
      </c>
      <c r="N10" s="57">
        <v>7024.4</v>
      </c>
      <c r="O10" s="58">
        <v>2479.1999999999998</v>
      </c>
      <c r="Z10" s="47" t="s">
        <v>561</v>
      </c>
      <c r="AA10" s="188" t="s">
        <v>562</v>
      </c>
      <c r="AB10" s="46">
        <v>614</v>
      </c>
      <c r="AC10" s="46">
        <v>2055.672</v>
      </c>
      <c r="AD10" s="59">
        <v>0</v>
      </c>
      <c r="AO10" s="56" t="s">
        <v>479</v>
      </c>
      <c r="AP10" s="187" t="s">
        <v>480</v>
      </c>
      <c r="AQ10" s="57">
        <v>2066</v>
      </c>
      <c r="AR10" s="57">
        <v>7024.4</v>
      </c>
      <c r="AS10" s="58">
        <v>2479.1999999999998</v>
      </c>
      <c r="AY10" s="56" t="s">
        <v>608</v>
      </c>
      <c r="AZ10" s="187" t="s">
        <v>608</v>
      </c>
      <c r="BA10" s="57">
        <v>341</v>
      </c>
      <c r="BB10" s="57">
        <v>1229.3050000000001</v>
      </c>
      <c r="BC10" s="168">
        <v>647.21800000000007</v>
      </c>
    </row>
    <row r="11" spans="1:69">
      <c r="A11" s="56" t="s">
        <v>609</v>
      </c>
      <c r="B11" s="187" t="s">
        <v>609</v>
      </c>
      <c r="C11" s="57">
        <v>341</v>
      </c>
      <c r="D11" s="167">
        <v>1229.3050000000001</v>
      </c>
      <c r="E11" s="168">
        <v>647.21800000000007</v>
      </c>
      <c r="H11" s="169"/>
      <c r="K11" s="56" t="s">
        <v>481</v>
      </c>
      <c r="L11" s="187" t="s">
        <v>482</v>
      </c>
      <c r="M11" s="57">
        <v>2144</v>
      </c>
      <c r="N11" s="57">
        <v>7274.5920000000006</v>
      </c>
      <c r="O11" s="58">
        <v>2572.8000000000002</v>
      </c>
      <c r="Z11" s="47" t="s">
        <v>563</v>
      </c>
      <c r="AA11" s="188" t="s">
        <v>563</v>
      </c>
      <c r="AB11" s="46">
        <v>631</v>
      </c>
      <c r="AC11" s="46">
        <v>2014.1519999999998</v>
      </c>
      <c r="AD11" s="59">
        <v>0</v>
      </c>
      <c r="AO11" s="56" t="s">
        <v>481</v>
      </c>
      <c r="AP11" s="187" t="s">
        <v>482</v>
      </c>
      <c r="AQ11" s="57">
        <v>2144</v>
      </c>
      <c r="AR11" s="57">
        <v>7274.5920000000006</v>
      </c>
      <c r="AS11" s="58">
        <v>2572.8000000000002</v>
      </c>
      <c r="AY11" s="56" t="s">
        <v>609</v>
      </c>
      <c r="AZ11" s="187" t="s">
        <v>609</v>
      </c>
      <c r="BA11" s="57">
        <v>341</v>
      </c>
      <c r="BB11" s="57">
        <v>1229.3050000000001</v>
      </c>
      <c r="BC11" s="168">
        <v>647.21800000000007</v>
      </c>
    </row>
    <row r="12" spans="1:69">
      <c r="A12" s="56" t="s">
        <v>610</v>
      </c>
      <c r="B12" s="187" t="s">
        <v>610</v>
      </c>
      <c r="C12" s="57">
        <v>355</v>
      </c>
      <c r="D12" s="167">
        <v>1279.0650000000001</v>
      </c>
      <c r="E12" s="168">
        <v>673.79</v>
      </c>
      <c r="H12" s="169"/>
      <c r="K12" s="56" t="s">
        <v>483</v>
      </c>
      <c r="L12" s="187" t="s">
        <v>484</v>
      </c>
      <c r="M12" s="57">
        <v>2135</v>
      </c>
      <c r="N12" s="57">
        <v>7241.92</v>
      </c>
      <c r="O12" s="58">
        <v>2562</v>
      </c>
      <c r="Z12" s="47" t="s">
        <v>564</v>
      </c>
      <c r="AA12" s="188" t="s">
        <v>564</v>
      </c>
      <c r="AB12" s="46">
        <v>471</v>
      </c>
      <c r="AC12" s="46">
        <v>1461.0419999999999</v>
      </c>
      <c r="AD12" s="59">
        <v>0</v>
      </c>
      <c r="AO12" s="56" t="s">
        <v>483</v>
      </c>
      <c r="AP12" s="187" t="s">
        <v>484</v>
      </c>
      <c r="AQ12" s="57">
        <v>2135</v>
      </c>
      <c r="AR12" s="57">
        <v>7241.92</v>
      </c>
      <c r="AS12" s="58">
        <v>2562</v>
      </c>
      <c r="AY12" s="56" t="s">
        <v>610</v>
      </c>
      <c r="AZ12" s="187" t="s">
        <v>610</v>
      </c>
      <c r="BA12" s="57">
        <v>355</v>
      </c>
      <c r="BB12" s="57">
        <v>1279.0650000000001</v>
      </c>
      <c r="BC12" s="168">
        <v>673.79</v>
      </c>
    </row>
    <row r="13" spans="1:69">
      <c r="A13" s="56" t="s">
        <v>611</v>
      </c>
      <c r="B13" s="187" t="s">
        <v>611</v>
      </c>
      <c r="C13" s="57">
        <v>356</v>
      </c>
      <c r="D13" s="167">
        <v>1282.6680000000001</v>
      </c>
      <c r="E13" s="168">
        <v>675.68799999999999</v>
      </c>
      <c r="K13" s="56" t="s">
        <v>485</v>
      </c>
      <c r="L13" s="187" t="s">
        <v>486</v>
      </c>
      <c r="M13" s="57">
        <v>2136</v>
      </c>
      <c r="N13" s="57">
        <v>7245.3119999999999</v>
      </c>
      <c r="O13" s="58">
        <v>2563.1999999999998</v>
      </c>
      <c r="Z13" s="47" t="s">
        <v>565</v>
      </c>
      <c r="AA13" s="188" t="s">
        <v>565</v>
      </c>
      <c r="AB13" s="46">
        <v>631</v>
      </c>
      <c r="AC13" s="46">
        <v>2013.521</v>
      </c>
      <c r="AD13" s="59">
        <v>0</v>
      </c>
      <c r="AO13" s="56" t="s">
        <v>485</v>
      </c>
      <c r="AP13" s="187" t="s">
        <v>486</v>
      </c>
      <c r="AQ13" s="57">
        <v>2136</v>
      </c>
      <c r="AR13" s="57">
        <v>7245.3119999999999</v>
      </c>
      <c r="AS13" s="58">
        <v>2563.1999999999998</v>
      </c>
      <c r="AY13" s="56" t="s">
        <v>611</v>
      </c>
      <c r="AZ13" s="187" t="s">
        <v>611</v>
      </c>
      <c r="BA13" s="57">
        <v>356</v>
      </c>
      <c r="BB13" s="57">
        <v>1282.6680000000001</v>
      </c>
      <c r="BC13" s="168">
        <v>675.68799999999999</v>
      </c>
    </row>
    <row r="14" spans="1:69">
      <c r="A14" s="56" t="s">
        <v>612</v>
      </c>
      <c r="B14" s="187" t="s">
        <v>612</v>
      </c>
      <c r="C14" s="57">
        <v>169</v>
      </c>
      <c r="D14" s="167">
        <v>611.78</v>
      </c>
      <c r="E14" s="168">
        <v>319.57899999999995</v>
      </c>
      <c r="H14" s="169"/>
      <c r="K14" s="56" t="s">
        <v>487</v>
      </c>
      <c r="L14" s="187" t="s">
        <v>488</v>
      </c>
      <c r="M14" s="57">
        <v>547</v>
      </c>
      <c r="N14" s="57">
        <v>1866.364</v>
      </c>
      <c r="O14" s="58">
        <v>656.4</v>
      </c>
      <c r="Z14" s="47" t="s">
        <v>566</v>
      </c>
      <c r="AA14" s="188" t="s">
        <v>566</v>
      </c>
      <c r="AB14" s="46">
        <v>474</v>
      </c>
      <c r="AC14" s="46">
        <v>1471.77</v>
      </c>
      <c r="AD14" s="59">
        <v>0</v>
      </c>
      <c r="AO14" s="56" t="s">
        <v>487</v>
      </c>
      <c r="AP14" s="187" t="s">
        <v>488</v>
      </c>
      <c r="AQ14" s="57">
        <v>547</v>
      </c>
      <c r="AR14" s="57">
        <v>1866.364</v>
      </c>
      <c r="AS14" s="58">
        <v>656.4</v>
      </c>
      <c r="AY14" s="56" t="s">
        <v>612</v>
      </c>
      <c r="AZ14" s="187" t="s">
        <v>612</v>
      </c>
      <c r="BA14" s="57">
        <v>169</v>
      </c>
      <c r="BB14" s="57">
        <v>611.78</v>
      </c>
      <c r="BC14" s="168">
        <v>319.57899999999995</v>
      </c>
    </row>
    <row r="15" spans="1:69">
      <c r="A15" s="56" t="s">
        <v>613</v>
      </c>
      <c r="B15" s="187" t="s">
        <v>613</v>
      </c>
      <c r="C15" s="57">
        <v>345</v>
      </c>
      <c r="D15" s="167">
        <v>1243.7249999999999</v>
      </c>
      <c r="E15" s="168">
        <v>654.46499999999992</v>
      </c>
      <c r="H15" s="169"/>
      <c r="K15" s="56" t="s">
        <v>489</v>
      </c>
      <c r="L15" s="187" t="s">
        <v>490</v>
      </c>
      <c r="M15" s="57">
        <v>551</v>
      </c>
      <c r="N15" s="57">
        <v>1881.114</v>
      </c>
      <c r="O15" s="58">
        <v>661.2</v>
      </c>
      <c r="Z15" s="47" t="s">
        <v>567</v>
      </c>
      <c r="AA15" s="188" t="s">
        <v>567</v>
      </c>
      <c r="AB15" s="46">
        <v>473</v>
      </c>
      <c r="AC15" s="46">
        <v>1467.2460000000001</v>
      </c>
      <c r="AD15" s="59">
        <v>0</v>
      </c>
      <c r="AO15" s="56" t="s">
        <v>489</v>
      </c>
      <c r="AP15" s="187" t="s">
        <v>490</v>
      </c>
      <c r="AQ15" s="57">
        <v>551</v>
      </c>
      <c r="AR15" s="57">
        <v>1881.114</v>
      </c>
      <c r="AS15" s="58">
        <v>661.2</v>
      </c>
      <c r="AY15" s="56" t="s">
        <v>613</v>
      </c>
      <c r="AZ15" s="187" t="s">
        <v>613</v>
      </c>
      <c r="BA15" s="57">
        <v>345</v>
      </c>
      <c r="BB15" s="57">
        <v>1243.7249999999999</v>
      </c>
      <c r="BC15" s="168">
        <v>654.46499999999992</v>
      </c>
    </row>
    <row r="16" spans="1:69">
      <c r="A16" s="56" t="s">
        <v>614</v>
      </c>
      <c r="B16" s="187" t="s">
        <v>614</v>
      </c>
      <c r="C16" s="57">
        <v>341</v>
      </c>
      <c r="D16" s="167">
        <v>1229.3050000000001</v>
      </c>
      <c r="E16" s="168">
        <v>647.21800000000007</v>
      </c>
      <c r="H16" s="169"/>
      <c r="K16" s="56" t="s">
        <v>491</v>
      </c>
      <c r="L16" s="187" t="s">
        <v>492</v>
      </c>
      <c r="M16" s="57">
        <v>552</v>
      </c>
      <c r="N16" s="57">
        <v>1885.08</v>
      </c>
      <c r="O16" s="58">
        <v>662.4</v>
      </c>
      <c r="Z16" s="47" t="s">
        <v>568</v>
      </c>
      <c r="AA16" s="188" t="s">
        <v>568</v>
      </c>
      <c r="AB16" s="46">
        <v>313</v>
      </c>
      <c r="AC16" s="46">
        <v>977.18599999999992</v>
      </c>
      <c r="AD16" s="59">
        <v>0</v>
      </c>
      <c r="AO16" s="56" t="s">
        <v>491</v>
      </c>
      <c r="AP16" s="187" t="s">
        <v>492</v>
      </c>
      <c r="AQ16" s="57">
        <v>552</v>
      </c>
      <c r="AR16" s="57">
        <v>1885.08</v>
      </c>
      <c r="AS16" s="58">
        <v>662.4</v>
      </c>
      <c r="AY16" s="56" t="s">
        <v>614</v>
      </c>
      <c r="AZ16" s="187" t="s">
        <v>614</v>
      </c>
      <c r="BA16" s="57">
        <v>341</v>
      </c>
      <c r="BB16" s="57">
        <v>1229.3050000000001</v>
      </c>
      <c r="BC16" s="168">
        <v>647.21800000000007</v>
      </c>
    </row>
    <row r="17" spans="1:55">
      <c r="A17" s="56" t="s">
        <v>615</v>
      </c>
      <c r="B17" s="187" t="s">
        <v>615</v>
      </c>
      <c r="C17" s="57">
        <v>184</v>
      </c>
      <c r="D17" s="167">
        <v>669.20800000000008</v>
      </c>
      <c r="E17" s="168">
        <v>347.94400000000002</v>
      </c>
      <c r="H17" s="169"/>
      <c r="K17" s="56" t="s">
        <v>493</v>
      </c>
      <c r="L17" s="187" t="s">
        <v>494</v>
      </c>
      <c r="M17" s="57">
        <v>555</v>
      </c>
      <c r="N17" s="57">
        <v>1896.4349999999999</v>
      </c>
      <c r="O17" s="58">
        <v>666</v>
      </c>
      <c r="Z17" s="47" t="s">
        <v>569</v>
      </c>
      <c r="AA17" s="188" t="s">
        <v>569</v>
      </c>
      <c r="AB17" s="46">
        <v>328</v>
      </c>
      <c r="AC17" s="46">
        <v>1020.408</v>
      </c>
      <c r="AD17" s="59">
        <v>0</v>
      </c>
      <c r="AO17" s="56" t="s">
        <v>493</v>
      </c>
      <c r="AP17" s="187" t="s">
        <v>494</v>
      </c>
      <c r="AQ17" s="57">
        <v>555</v>
      </c>
      <c r="AR17" s="57">
        <v>1896.4349999999999</v>
      </c>
      <c r="AS17" s="58">
        <v>666</v>
      </c>
      <c r="AY17" s="56" t="s">
        <v>615</v>
      </c>
      <c r="AZ17" s="187" t="s">
        <v>615</v>
      </c>
      <c r="BA17" s="57">
        <v>184</v>
      </c>
      <c r="BB17" s="57">
        <v>669.20800000000008</v>
      </c>
      <c r="BC17" s="168">
        <v>347.94400000000002</v>
      </c>
    </row>
    <row r="18" spans="1:55">
      <c r="A18" s="56" t="s">
        <v>616</v>
      </c>
      <c r="B18" s="187" t="s">
        <v>616</v>
      </c>
      <c r="C18" s="57">
        <v>178</v>
      </c>
      <c r="D18" s="167">
        <v>649.70000000000005</v>
      </c>
      <c r="E18" s="168">
        <v>336.59799999999996</v>
      </c>
      <c r="H18" s="169"/>
      <c r="K18" s="56" t="s">
        <v>495</v>
      </c>
      <c r="L18" s="187" t="s">
        <v>496</v>
      </c>
      <c r="M18" s="57">
        <v>567</v>
      </c>
      <c r="N18" s="57">
        <v>1933.47</v>
      </c>
      <c r="O18" s="58">
        <v>680.4</v>
      </c>
      <c r="Z18" s="47" t="s">
        <v>570</v>
      </c>
      <c r="AA18" s="188" t="s">
        <v>570</v>
      </c>
      <c r="AB18" s="46">
        <v>327</v>
      </c>
      <c r="AC18" s="46">
        <v>1018.2779999999999</v>
      </c>
      <c r="AD18" s="59">
        <v>0</v>
      </c>
      <c r="AO18" s="56" t="s">
        <v>495</v>
      </c>
      <c r="AP18" s="187" t="s">
        <v>496</v>
      </c>
      <c r="AQ18" s="57">
        <v>567</v>
      </c>
      <c r="AR18" s="57">
        <v>1933.47</v>
      </c>
      <c r="AS18" s="58">
        <v>680.4</v>
      </c>
      <c r="AY18" s="56" t="s">
        <v>616</v>
      </c>
      <c r="AZ18" s="187" t="s">
        <v>616</v>
      </c>
      <c r="BA18" s="57">
        <v>178</v>
      </c>
      <c r="BB18" s="57">
        <v>649.70000000000005</v>
      </c>
      <c r="BC18" s="168">
        <v>336.59799999999996</v>
      </c>
    </row>
    <row r="19" spans="1:55">
      <c r="A19" s="56" t="s">
        <v>617</v>
      </c>
      <c r="B19" s="187" t="s">
        <v>617</v>
      </c>
      <c r="C19" s="57">
        <v>123</v>
      </c>
      <c r="D19" s="167">
        <v>445.62900000000002</v>
      </c>
      <c r="E19" s="168">
        <v>232.59299999999999</v>
      </c>
      <c r="H19" s="169"/>
      <c r="K19" s="56" t="s">
        <v>497</v>
      </c>
      <c r="L19" s="187" t="s">
        <v>498</v>
      </c>
      <c r="M19" s="57">
        <v>554</v>
      </c>
      <c r="N19" s="57">
        <v>1893.0179999999998</v>
      </c>
      <c r="O19" s="58">
        <v>664.8</v>
      </c>
      <c r="Z19" s="47" t="s">
        <v>571</v>
      </c>
      <c r="AA19" s="188" t="s">
        <v>571</v>
      </c>
      <c r="AB19" s="46">
        <v>324</v>
      </c>
      <c r="AC19" s="46">
        <v>1007.9640000000001</v>
      </c>
      <c r="AD19" s="59">
        <v>0</v>
      </c>
      <c r="AO19" s="56" t="s">
        <v>497</v>
      </c>
      <c r="AP19" s="187" t="s">
        <v>498</v>
      </c>
      <c r="AQ19" s="57">
        <v>554</v>
      </c>
      <c r="AR19" s="57">
        <v>1893.0179999999998</v>
      </c>
      <c r="AS19" s="58">
        <v>664.8</v>
      </c>
      <c r="AY19" s="56" t="s">
        <v>617</v>
      </c>
      <c r="AZ19" s="187" t="s">
        <v>617</v>
      </c>
      <c r="BA19" s="57">
        <v>123</v>
      </c>
      <c r="BB19" s="57">
        <v>445.62900000000002</v>
      </c>
      <c r="BC19" s="168">
        <v>232.59299999999999</v>
      </c>
    </row>
    <row r="20" spans="1:55">
      <c r="A20" s="56" t="s">
        <v>618</v>
      </c>
      <c r="B20" s="187" t="s">
        <v>618</v>
      </c>
      <c r="C20" s="57">
        <v>130</v>
      </c>
      <c r="D20" s="167">
        <v>472.29</v>
      </c>
      <c r="E20" s="168">
        <v>245.83</v>
      </c>
      <c r="H20" s="169"/>
      <c r="K20" s="56" t="s">
        <v>499</v>
      </c>
      <c r="L20" s="187" t="s">
        <v>500</v>
      </c>
      <c r="M20" s="57">
        <v>556</v>
      </c>
      <c r="N20" s="57">
        <v>1899.8519999999999</v>
      </c>
      <c r="O20" s="58">
        <v>667.2</v>
      </c>
      <c r="Z20" s="47" t="s">
        <v>572</v>
      </c>
      <c r="AA20" s="188" t="s">
        <v>572</v>
      </c>
      <c r="AB20" s="46">
        <v>319</v>
      </c>
      <c r="AC20" s="46">
        <v>995.28</v>
      </c>
      <c r="AD20" s="59">
        <v>0</v>
      </c>
      <c r="AO20" s="56" t="s">
        <v>499</v>
      </c>
      <c r="AP20" s="187" t="s">
        <v>500</v>
      </c>
      <c r="AQ20" s="57">
        <v>556</v>
      </c>
      <c r="AR20" s="57">
        <v>1899.8519999999999</v>
      </c>
      <c r="AS20" s="58">
        <v>667.2</v>
      </c>
      <c r="AY20" s="56" t="s">
        <v>618</v>
      </c>
      <c r="AZ20" s="187" t="s">
        <v>618</v>
      </c>
      <c r="BA20" s="57">
        <v>130</v>
      </c>
      <c r="BB20" s="57">
        <v>472.29</v>
      </c>
      <c r="BC20" s="168">
        <v>245.83</v>
      </c>
    </row>
    <row r="21" spans="1:55">
      <c r="A21" s="56" t="s">
        <v>619</v>
      </c>
      <c r="B21" s="187" t="s">
        <v>619</v>
      </c>
      <c r="C21" s="57">
        <v>139</v>
      </c>
      <c r="D21" s="167">
        <v>505.68200000000002</v>
      </c>
      <c r="E21" s="168">
        <v>262.84899999999999</v>
      </c>
      <c r="H21" s="169"/>
      <c r="K21" s="56" t="s">
        <v>501</v>
      </c>
      <c r="L21" s="187" t="s">
        <v>502</v>
      </c>
      <c r="M21" s="57">
        <v>620</v>
      </c>
      <c r="N21" s="57">
        <v>2086.92</v>
      </c>
      <c r="O21" s="58">
        <v>744</v>
      </c>
      <c r="Z21" s="47" t="s">
        <v>573</v>
      </c>
      <c r="AA21" s="188" t="s">
        <v>573</v>
      </c>
      <c r="AB21" s="46">
        <v>335</v>
      </c>
      <c r="AC21" s="46">
        <v>1050.895</v>
      </c>
      <c r="AD21" s="59">
        <v>0</v>
      </c>
      <c r="AO21" s="56" t="s">
        <v>501</v>
      </c>
      <c r="AP21" s="187" t="s">
        <v>502</v>
      </c>
      <c r="AQ21" s="57">
        <v>620</v>
      </c>
      <c r="AR21" s="57">
        <v>2086.92</v>
      </c>
      <c r="AS21" s="58">
        <v>744</v>
      </c>
      <c r="AY21" s="56" t="s">
        <v>619</v>
      </c>
      <c r="AZ21" s="187" t="s">
        <v>619</v>
      </c>
      <c r="BA21" s="57">
        <v>139</v>
      </c>
      <c r="BB21" s="57">
        <v>505.68200000000002</v>
      </c>
      <c r="BC21" s="168">
        <v>262.84899999999999</v>
      </c>
    </row>
    <row r="22" spans="1:55">
      <c r="A22" s="56" t="s">
        <v>620</v>
      </c>
      <c r="B22" s="187" t="s">
        <v>620</v>
      </c>
      <c r="C22" s="57">
        <v>135</v>
      </c>
      <c r="D22" s="167">
        <v>490.05</v>
      </c>
      <c r="E22" s="168">
        <v>255.285</v>
      </c>
      <c r="H22" s="169"/>
      <c r="K22" s="56" t="s">
        <v>503</v>
      </c>
      <c r="L22" s="187" t="s">
        <v>504</v>
      </c>
      <c r="M22" s="57">
        <v>567</v>
      </c>
      <c r="N22" s="57">
        <v>1933.47</v>
      </c>
      <c r="O22" s="58">
        <v>680.4</v>
      </c>
      <c r="AO22" s="56" t="s">
        <v>503</v>
      </c>
      <c r="AP22" s="187" t="s">
        <v>504</v>
      </c>
      <c r="AQ22" s="57">
        <v>567</v>
      </c>
      <c r="AR22" s="57">
        <v>1933.47</v>
      </c>
      <c r="AS22" s="58">
        <v>680.4</v>
      </c>
      <c r="AY22" s="56" t="s">
        <v>620</v>
      </c>
      <c r="AZ22" s="187" t="s">
        <v>620</v>
      </c>
      <c r="BA22" s="57">
        <v>135</v>
      </c>
      <c r="BB22" s="57">
        <v>490.05</v>
      </c>
      <c r="BC22" s="168">
        <v>255.285</v>
      </c>
    </row>
    <row r="23" spans="1:55">
      <c r="A23" s="56" t="s">
        <v>621</v>
      </c>
      <c r="B23" s="187" t="s">
        <v>621</v>
      </c>
      <c r="C23" s="57">
        <v>127</v>
      </c>
      <c r="D23" s="167">
        <v>460.12099999999998</v>
      </c>
      <c r="E23" s="168">
        <v>240.15700000000001</v>
      </c>
      <c r="H23" s="169"/>
      <c r="K23" s="56" t="s">
        <v>505</v>
      </c>
      <c r="L23" s="187" t="s">
        <v>506</v>
      </c>
      <c r="M23" s="57">
        <v>996</v>
      </c>
      <c r="N23" s="57">
        <v>3401.34</v>
      </c>
      <c r="O23" s="58">
        <v>1195.2</v>
      </c>
      <c r="AO23" s="56" t="s">
        <v>505</v>
      </c>
      <c r="AP23" s="187" t="s">
        <v>506</v>
      </c>
      <c r="AQ23" s="57">
        <v>996</v>
      </c>
      <c r="AR23" s="57">
        <v>3401.34</v>
      </c>
      <c r="AS23" s="58">
        <v>1195.2</v>
      </c>
      <c r="AY23" s="56" t="s">
        <v>621</v>
      </c>
      <c r="AZ23" s="187" t="s">
        <v>621</v>
      </c>
      <c r="BA23" s="57">
        <v>127</v>
      </c>
      <c r="BB23" s="57">
        <v>460.12099999999998</v>
      </c>
      <c r="BC23" s="168">
        <v>240.15700000000001</v>
      </c>
    </row>
    <row r="24" spans="1:55">
      <c r="D24" s="167"/>
      <c r="E24" s="168"/>
      <c r="H24" s="169"/>
      <c r="K24" s="56" t="s">
        <v>507</v>
      </c>
      <c r="L24" s="187" t="s">
        <v>508</v>
      </c>
      <c r="M24" s="57">
        <v>946</v>
      </c>
      <c r="N24" s="57">
        <v>3070.7160000000003</v>
      </c>
      <c r="O24" s="58">
        <v>1135.2</v>
      </c>
      <c r="AO24" s="56" t="s">
        <v>507</v>
      </c>
      <c r="AP24" s="187" t="s">
        <v>508</v>
      </c>
      <c r="AQ24" s="57">
        <v>946</v>
      </c>
      <c r="AR24" s="57">
        <v>3070.7160000000003</v>
      </c>
      <c r="AS24" s="58">
        <v>1135.2</v>
      </c>
      <c r="BC24" s="168"/>
    </row>
    <row r="25" spans="1:55">
      <c r="D25" s="167"/>
      <c r="E25" s="168"/>
      <c r="H25" s="169"/>
      <c r="K25" s="56" t="s">
        <v>509</v>
      </c>
      <c r="L25" s="187" t="s">
        <v>510</v>
      </c>
      <c r="M25" s="57">
        <v>945</v>
      </c>
      <c r="N25" s="57">
        <v>3229.0650000000001</v>
      </c>
      <c r="O25" s="58">
        <v>1134</v>
      </c>
      <c r="AO25" s="56" t="s">
        <v>509</v>
      </c>
      <c r="AP25" s="187" t="s">
        <v>510</v>
      </c>
      <c r="AQ25" s="57">
        <v>945</v>
      </c>
      <c r="AR25" s="57">
        <v>3229.0650000000001</v>
      </c>
      <c r="AS25" s="58">
        <v>1134</v>
      </c>
      <c r="BC25" s="168"/>
    </row>
    <row r="26" spans="1:55">
      <c r="D26" s="167"/>
      <c r="E26" s="168"/>
      <c r="H26" s="169"/>
      <c r="K26" s="56" t="s">
        <v>511</v>
      </c>
      <c r="L26" s="187" t="s">
        <v>512</v>
      </c>
      <c r="M26" s="57">
        <v>744</v>
      </c>
      <c r="N26" s="57">
        <v>2545.9679999999998</v>
      </c>
      <c r="O26" s="58">
        <v>892.8</v>
      </c>
      <c r="AO26" s="56" t="s">
        <v>511</v>
      </c>
      <c r="AP26" s="187" t="s">
        <v>512</v>
      </c>
      <c r="AQ26" s="57">
        <v>744</v>
      </c>
      <c r="AR26" s="57">
        <v>2545.9679999999998</v>
      </c>
      <c r="AS26" s="58">
        <v>892.8</v>
      </c>
      <c r="BC26" s="168"/>
    </row>
    <row r="27" spans="1:55">
      <c r="D27" s="167"/>
      <c r="E27" s="168"/>
      <c r="H27" s="169"/>
      <c r="K27" s="56" t="s">
        <v>513</v>
      </c>
      <c r="L27" s="187" t="s">
        <v>514</v>
      </c>
      <c r="M27" s="57">
        <v>957</v>
      </c>
      <c r="N27" s="57">
        <v>3254.7570000000001</v>
      </c>
      <c r="O27" s="58">
        <v>1148.4000000000001</v>
      </c>
      <c r="AO27" s="56" t="s">
        <v>513</v>
      </c>
      <c r="AP27" s="187" t="s">
        <v>514</v>
      </c>
      <c r="AQ27" s="57">
        <v>957</v>
      </c>
      <c r="AR27" s="57">
        <v>3254.7570000000001</v>
      </c>
      <c r="AS27" s="58">
        <v>1148.4000000000001</v>
      </c>
      <c r="BC27" s="168"/>
    </row>
    <row r="28" spans="1:55">
      <c r="D28" s="167"/>
      <c r="E28" s="168"/>
      <c r="H28" s="169"/>
      <c r="K28" s="56" t="s">
        <v>515</v>
      </c>
      <c r="L28" s="187" t="s">
        <v>516</v>
      </c>
      <c r="M28" s="57">
        <v>951</v>
      </c>
      <c r="N28" s="57">
        <v>3230.547</v>
      </c>
      <c r="O28" s="58">
        <v>1141.2</v>
      </c>
      <c r="AO28" s="56" t="s">
        <v>515</v>
      </c>
      <c r="AP28" s="187" t="s">
        <v>516</v>
      </c>
      <c r="AQ28" s="57">
        <v>951</v>
      </c>
      <c r="AR28" s="57">
        <v>3230.547</v>
      </c>
      <c r="AS28" s="58">
        <v>1141.2</v>
      </c>
      <c r="BC28" s="168"/>
    </row>
    <row r="29" spans="1:55">
      <c r="D29" s="167"/>
      <c r="E29" s="168"/>
      <c r="H29" s="169"/>
      <c r="K29" s="56" t="s">
        <v>517</v>
      </c>
      <c r="L29" s="187" t="s">
        <v>518</v>
      </c>
      <c r="M29" s="57">
        <v>702</v>
      </c>
      <c r="N29" s="57">
        <v>2382.5879999999997</v>
      </c>
      <c r="O29" s="58">
        <v>842.4</v>
      </c>
      <c r="AO29" s="56" t="s">
        <v>517</v>
      </c>
      <c r="AP29" s="187" t="s">
        <v>518</v>
      </c>
      <c r="AQ29" s="57">
        <v>702</v>
      </c>
      <c r="AR29" s="57">
        <v>2382.5879999999997</v>
      </c>
      <c r="AS29" s="58">
        <v>842.4</v>
      </c>
      <c r="BC29" s="168"/>
    </row>
    <row r="30" spans="1:55">
      <c r="D30" s="167"/>
      <c r="E30" s="168"/>
      <c r="H30" s="169"/>
      <c r="K30" s="56" t="s">
        <v>519</v>
      </c>
      <c r="L30" s="187" t="s">
        <v>520</v>
      </c>
      <c r="M30" s="57">
        <v>950</v>
      </c>
      <c r="N30" s="57">
        <v>3221.45</v>
      </c>
      <c r="O30" s="58">
        <v>1140</v>
      </c>
      <c r="AO30" s="56" t="s">
        <v>519</v>
      </c>
      <c r="AP30" s="187" t="s">
        <v>520</v>
      </c>
      <c r="AQ30" s="57">
        <v>950</v>
      </c>
      <c r="AR30" s="57">
        <v>3221.45</v>
      </c>
      <c r="AS30" s="58">
        <v>1140</v>
      </c>
      <c r="BC30" s="168"/>
    </row>
    <row r="31" spans="1:55">
      <c r="D31" s="167"/>
      <c r="E31" s="168"/>
      <c r="H31" s="169"/>
      <c r="K31" s="56" t="s">
        <v>521</v>
      </c>
      <c r="L31" s="187" t="s">
        <v>521</v>
      </c>
      <c r="M31" s="57">
        <v>229</v>
      </c>
      <c r="N31" s="57">
        <v>787.30200000000002</v>
      </c>
      <c r="O31" s="58">
        <v>274.8</v>
      </c>
      <c r="AO31" s="56" t="s">
        <v>521</v>
      </c>
      <c r="AP31" s="187" t="s">
        <v>521</v>
      </c>
      <c r="AQ31" s="57">
        <v>229</v>
      </c>
      <c r="AR31" s="57">
        <v>787.30200000000002</v>
      </c>
      <c r="AS31" s="58">
        <v>274.8</v>
      </c>
      <c r="BC31" s="168"/>
    </row>
    <row r="32" spans="1:55">
      <c r="D32" s="167"/>
      <c r="E32" s="168"/>
      <c r="H32" s="169"/>
      <c r="K32" s="56" t="s">
        <v>522</v>
      </c>
      <c r="L32" s="187" t="s">
        <v>522</v>
      </c>
      <c r="M32" s="57">
        <v>283</v>
      </c>
      <c r="N32" s="57">
        <v>961.35099999999989</v>
      </c>
      <c r="O32" s="58">
        <v>339.6</v>
      </c>
      <c r="AO32" s="56" t="s">
        <v>522</v>
      </c>
      <c r="AP32" s="187" t="s">
        <v>522</v>
      </c>
      <c r="AQ32" s="57">
        <v>283</v>
      </c>
      <c r="AR32" s="57">
        <v>961.35099999999989</v>
      </c>
      <c r="AS32" s="58">
        <v>339.6</v>
      </c>
      <c r="BC32" s="168"/>
    </row>
    <row r="33" spans="11:45">
      <c r="K33" s="56" t="s">
        <v>523</v>
      </c>
      <c r="L33" s="187" t="s">
        <v>523</v>
      </c>
      <c r="M33" s="57">
        <v>510</v>
      </c>
      <c r="N33" s="57">
        <v>1726.86</v>
      </c>
      <c r="O33" s="58">
        <v>612</v>
      </c>
      <c r="AO33" s="56" t="s">
        <v>523</v>
      </c>
      <c r="AP33" s="187" t="s">
        <v>523</v>
      </c>
      <c r="AQ33" s="57">
        <v>510</v>
      </c>
      <c r="AR33" s="57">
        <v>1726.86</v>
      </c>
      <c r="AS33" s="58">
        <v>612</v>
      </c>
    </row>
    <row r="34" spans="11:45">
      <c r="K34" s="56" t="s">
        <v>524</v>
      </c>
      <c r="L34" s="187" t="s">
        <v>524</v>
      </c>
      <c r="M34" s="57">
        <v>540</v>
      </c>
      <c r="N34" s="57">
        <v>1838.7</v>
      </c>
      <c r="O34" s="58">
        <v>648</v>
      </c>
      <c r="AO34" s="56" t="s">
        <v>524</v>
      </c>
      <c r="AP34" s="187" t="s">
        <v>524</v>
      </c>
      <c r="AQ34" s="57">
        <v>540</v>
      </c>
      <c r="AR34" s="57">
        <v>1838.7</v>
      </c>
      <c r="AS34" s="58">
        <v>648</v>
      </c>
    </row>
    <row r="35" spans="11:45">
      <c r="K35" s="56" t="s">
        <v>525</v>
      </c>
      <c r="L35" s="187" t="s">
        <v>525</v>
      </c>
      <c r="M35" s="57">
        <v>1970</v>
      </c>
      <c r="N35" s="57">
        <v>6662.54</v>
      </c>
      <c r="O35" s="58">
        <v>2364</v>
      </c>
      <c r="AO35" s="56" t="s">
        <v>525</v>
      </c>
      <c r="AP35" s="187" t="s">
        <v>525</v>
      </c>
      <c r="AQ35" s="57">
        <v>1970</v>
      </c>
      <c r="AR35" s="57">
        <v>6662.54</v>
      </c>
      <c r="AS35" s="58">
        <v>2364</v>
      </c>
    </row>
    <row r="36" spans="11:45">
      <c r="K36" s="56" t="s">
        <v>526</v>
      </c>
      <c r="L36" s="187" t="s">
        <v>527</v>
      </c>
      <c r="M36" s="57">
        <v>482</v>
      </c>
      <c r="N36" s="57">
        <v>1657.598</v>
      </c>
      <c r="O36" s="58">
        <v>578.4</v>
      </c>
      <c r="AO36" s="56" t="s">
        <v>526</v>
      </c>
      <c r="AP36" s="187" t="s">
        <v>527</v>
      </c>
      <c r="AQ36" s="57">
        <v>482</v>
      </c>
      <c r="AR36" s="57">
        <v>1657.598</v>
      </c>
      <c r="AS36" s="58">
        <v>578.4</v>
      </c>
    </row>
    <row r="37" spans="11:45">
      <c r="K37" s="56" t="s">
        <v>528</v>
      </c>
      <c r="L37" s="187" t="s">
        <v>529</v>
      </c>
      <c r="M37" s="57">
        <v>2020</v>
      </c>
      <c r="N37" s="57">
        <v>6819.52</v>
      </c>
      <c r="O37" s="58">
        <v>2424</v>
      </c>
      <c r="AO37" s="56" t="s">
        <v>528</v>
      </c>
      <c r="AP37" s="187" t="s">
        <v>529</v>
      </c>
      <c r="AQ37" s="57">
        <v>2020</v>
      </c>
      <c r="AR37" s="57">
        <v>6819.52</v>
      </c>
      <c r="AS37" s="58">
        <v>2424</v>
      </c>
    </row>
    <row r="38" spans="11:45">
      <c r="K38" s="56" t="s">
        <v>530</v>
      </c>
      <c r="L38" s="187" t="s">
        <v>530</v>
      </c>
      <c r="M38" s="57">
        <v>2052</v>
      </c>
      <c r="N38" s="57">
        <v>6896.7720000000008</v>
      </c>
      <c r="O38" s="58">
        <v>2462.4</v>
      </c>
      <c r="AO38" s="56" t="s">
        <v>530</v>
      </c>
      <c r="AP38" s="187" t="s">
        <v>530</v>
      </c>
      <c r="AQ38" s="57">
        <v>2052</v>
      </c>
      <c r="AR38" s="57">
        <v>6896.7720000000008</v>
      </c>
      <c r="AS38" s="58">
        <v>2462.4</v>
      </c>
    </row>
    <row r="39" spans="11:45">
      <c r="K39" s="56" t="s">
        <v>531</v>
      </c>
      <c r="L39" s="187" t="s">
        <v>531</v>
      </c>
      <c r="M39" s="57">
        <v>2135</v>
      </c>
      <c r="N39" s="57">
        <v>7188.5450000000001</v>
      </c>
      <c r="O39" s="58">
        <v>2562</v>
      </c>
      <c r="AO39" s="56" t="s">
        <v>531</v>
      </c>
      <c r="AP39" s="187" t="s">
        <v>531</v>
      </c>
      <c r="AQ39" s="57">
        <v>2135</v>
      </c>
      <c r="AR39" s="57">
        <v>7188.5450000000001</v>
      </c>
      <c r="AS39" s="58">
        <v>2562</v>
      </c>
    </row>
    <row r="40" spans="11:45">
      <c r="K40" s="56" t="s">
        <v>532</v>
      </c>
      <c r="L40" s="187" t="s">
        <v>533</v>
      </c>
      <c r="M40" s="57">
        <v>611</v>
      </c>
      <c r="N40" s="57">
        <v>2064.569</v>
      </c>
      <c r="O40" s="58">
        <v>733.2</v>
      </c>
      <c r="AO40" s="56" t="s">
        <v>532</v>
      </c>
      <c r="AP40" s="187" t="s">
        <v>533</v>
      </c>
      <c r="AQ40" s="57">
        <v>611</v>
      </c>
      <c r="AR40" s="57">
        <v>2064.569</v>
      </c>
      <c r="AS40" s="58">
        <v>733.2</v>
      </c>
    </row>
    <row r="41" spans="11:45">
      <c r="K41" s="56" t="s">
        <v>534</v>
      </c>
      <c r="L41" s="187" t="s">
        <v>535</v>
      </c>
      <c r="M41" s="57">
        <v>2354</v>
      </c>
      <c r="N41" s="57">
        <v>7935.3339999999998</v>
      </c>
      <c r="O41" s="58">
        <v>2824.8</v>
      </c>
      <c r="AO41" s="56" t="s">
        <v>534</v>
      </c>
      <c r="AP41" s="187" t="s">
        <v>535</v>
      </c>
      <c r="AQ41" s="57">
        <v>2354</v>
      </c>
      <c r="AR41" s="57">
        <v>7935.3339999999998</v>
      </c>
      <c r="AS41" s="58">
        <v>2824.8</v>
      </c>
    </row>
    <row r="42" spans="11:45">
      <c r="K42" s="56" t="s">
        <v>536</v>
      </c>
      <c r="L42" s="187" t="s">
        <v>537</v>
      </c>
      <c r="M42" s="57">
        <v>2306</v>
      </c>
      <c r="N42" s="57">
        <v>7766.6080000000002</v>
      </c>
      <c r="O42" s="58">
        <v>2767.2</v>
      </c>
      <c r="AO42" s="56" t="s">
        <v>536</v>
      </c>
      <c r="AP42" s="187" t="s">
        <v>537</v>
      </c>
      <c r="AQ42" s="57">
        <v>2306</v>
      </c>
      <c r="AR42" s="57">
        <v>7766.6080000000002</v>
      </c>
      <c r="AS42" s="58">
        <v>2767.2</v>
      </c>
    </row>
    <row r="43" spans="11:45">
      <c r="K43" s="56" t="s">
        <v>538</v>
      </c>
      <c r="L43" s="187" t="s">
        <v>539</v>
      </c>
      <c r="M43" s="57">
        <v>2218</v>
      </c>
      <c r="N43" s="57">
        <v>7430.3</v>
      </c>
      <c r="O43" s="58">
        <v>2661.6</v>
      </c>
      <c r="AO43" s="56" t="s">
        <v>538</v>
      </c>
      <c r="AP43" s="187" t="s">
        <v>539</v>
      </c>
      <c r="AQ43" s="57">
        <v>2218</v>
      </c>
      <c r="AR43" s="57">
        <v>7430.3</v>
      </c>
      <c r="AS43" s="58">
        <v>2661.6</v>
      </c>
    </row>
    <row r="44" spans="11:45">
      <c r="K44" s="56" t="s">
        <v>540</v>
      </c>
      <c r="L44" s="187" t="s">
        <v>541</v>
      </c>
      <c r="M44" s="57">
        <v>2185</v>
      </c>
      <c r="N44" s="57">
        <v>7313.1949999999997</v>
      </c>
      <c r="O44" s="58">
        <v>2622</v>
      </c>
      <c r="AO44" s="56" t="s">
        <v>540</v>
      </c>
      <c r="AP44" s="187" t="s">
        <v>541</v>
      </c>
      <c r="AQ44" s="57">
        <v>2185</v>
      </c>
      <c r="AR44" s="57">
        <v>7313.1949999999997</v>
      </c>
      <c r="AS44" s="58">
        <v>2622</v>
      </c>
    </row>
    <row r="45" spans="11:45">
      <c r="K45" s="56" t="s">
        <v>542</v>
      </c>
      <c r="L45" s="187" t="s">
        <v>543</v>
      </c>
      <c r="M45" s="57">
        <v>564</v>
      </c>
      <c r="N45" s="57">
        <v>1924.3679999999999</v>
      </c>
      <c r="O45" s="58">
        <v>676.8</v>
      </c>
      <c r="AO45" s="56" t="s">
        <v>542</v>
      </c>
      <c r="AP45" s="187" t="s">
        <v>543</v>
      </c>
      <c r="AQ45" s="57">
        <v>564</v>
      </c>
      <c r="AR45" s="57">
        <v>1924.3679999999999</v>
      </c>
      <c r="AS45" s="58">
        <v>676.8</v>
      </c>
    </row>
    <row r="46" spans="11:45">
      <c r="K46" s="56" t="s">
        <v>544</v>
      </c>
      <c r="L46" s="187" t="s">
        <v>545</v>
      </c>
      <c r="M46" s="57">
        <v>565</v>
      </c>
      <c r="N46" s="57">
        <v>1928.345</v>
      </c>
      <c r="O46" s="58">
        <v>678</v>
      </c>
      <c r="AO46" s="56" t="s">
        <v>544</v>
      </c>
      <c r="AP46" s="187" t="s">
        <v>545</v>
      </c>
      <c r="AQ46" s="57">
        <v>565</v>
      </c>
      <c r="AR46" s="57">
        <v>1928.345</v>
      </c>
      <c r="AS46" s="58">
        <v>678</v>
      </c>
    </row>
    <row r="47" spans="11:45">
      <c r="K47" s="56" t="s">
        <v>546</v>
      </c>
      <c r="L47" s="187" t="s">
        <v>547</v>
      </c>
      <c r="M47" s="57">
        <v>565</v>
      </c>
      <c r="N47" s="57">
        <v>1928.345</v>
      </c>
      <c r="O47" s="58">
        <v>678</v>
      </c>
      <c r="AO47" s="56" t="s">
        <v>546</v>
      </c>
      <c r="AP47" s="187" t="s">
        <v>547</v>
      </c>
      <c r="AQ47" s="57">
        <v>565</v>
      </c>
      <c r="AR47" s="57">
        <v>1928.345</v>
      </c>
      <c r="AS47" s="58">
        <v>678</v>
      </c>
    </row>
    <row r="48" spans="11:45">
      <c r="K48" s="56" t="s">
        <v>548</v>
      </c>
      <c r="L48" s="187" t="s">
        <v>548</v>
      </c>
      <c r="M48" s="57">
        <v>716</v>
      </c>
      <c r="N48" s="57">
        <v>2425.808</v>
      </c>
      <c r="O48" s="58">
        <v>859.2</v>
      </c>
      <c r="AO48" s="56" t="s">
        <v>548</v>
      </c>
      <c r="AP48" s="187" t="s">
        <v>548</v>
      </c>
      <c r="AQ48" s="57">
        <v>716</v>
      </c>
      <c r="AR48" s="57">
        <v>2425.808</v>
      </c>
      <c r="AS48" s="58">
        <v>859.2</v>
      </c>
    </row>
    <row r="49" spans="11:45">
      <c r="K49" s="56" t="s">
        <v>549</v>
      </c>
      <c r="L49" s="187" t="s">
        <v>550</v>
      </c>
      <c r="M49" s="57">
        <v>751</v>
      </c>
      <c r="N49" s="57">
        <v>2551.1469999999999</v>
      </c>
      <c r="O49" s="58">
        <v>901.2</v>
      </c>
      <c r="AO49" s="56" t="s">
        <v>549</v>
      </c>
      <c r="AP49" s="187" t="s">
        <v>550</v>
      </c>
      <c r="AQ49" s="57">
        <v>751</v>
      </c>
      <c r="AR49" s="57">
        <v>2551.1469999999999</v>
      </c>
      <c r="AS49" s="58">
        <v>901.2</v>
      </c>
    </row>
    <row r="50" spans="11:45">
      <c r="K50" s="56" t="s">
        <v>551</v>
      </c>
      <c r="L50" s="187" t="s">
        <v>552</v>
      </c>
      <c r="M50" s="57">
        <v>101</v>
      </c>
      <c r="N50" s="57">
        <v>342.99600000000004</v>
      </c>
      <c r="O50" s="58">
        <v>121.2</v>
      </c>
      <c r="AO50" s="56" t="s">
        <v>551</v>
      </c>
      <c r="AP50" s="187" t="s">
        <v>552</v>
      </c>
      <c r="AQ50" s="57">
        <v>101</v>
      </c>
      <c r="AR50" s="57">
        <v>342.99600000000004</v>
      </c>
      <c r="AS50" s="58">
        <v>121.2</v>
      </c>
    </row>
    <row r="51" spans="11:45">
      <c r="K51" s="56" t="s">
        <v>553</v>
      </c>
      <c r="L51" s="187" t="s">
        <v>554</v>
      </c>
      <c r="M51" s="57">
        <v>659</v>
      </c>
      <c r="N51" s="57">
        <v>2201.06</v>
      </c>
      <c r="O51" s="58">
        <v>790.8</v>
      </c>
      <c r="AO51" s="56" t="s">
        <v>553</v>
      </c>
      <c r="AP51" s="187" t="s">
        <v>554</v>
      </c>
      <c r="AQ51" s="57">
        <v>659</v>
      </c>
      <c r="AR51" s="57">
        <v>2201.06</v>
      </c>
      <c r="AS51" s="58">
        <v>790.8</v>
      </c>
    </row>
    <row r="52" spans="11:45">
      <c r="K52" s="56" t="s">
        <v>555</v>
      </c>
      <c r="L52" s="187" t="s">
        <v>556</v>
      </c>
      <c r="M52" s="57">
        <v>674</v>
      </c>
      <c r="N52" s="57">
        <v>2253.8559999999998</v>
      </c>
      <c r="O52" s="58">
        <v>808.8</v>
      </c>
      <c r="AO52" s="56" t="s">
        <v>555</v>
      </c>
      <c r="AP52" s="187" t="s">
        <v>556</v>
      </c>
      <c r="AQ52" s="57">
        <v>674</v>
      </c>
      <c r="AR52" s="57">
        <v>2253.8559999999998</v>
      </c>
      <c r="AS52" s="58">
        <v>808.8</v>
      </c>
    </row>
    <row r="53" spans="11:45">
      <c r="K53" s="56" t="s">
        <v>557</v>
      </c>
      <c r="L53" s="187" t="s">
        <v>558</v>
      </c>
      <c r="M53" s="57">
        <v>574</v>
      </c>
      <c r="N53" s="57">
        <v>1930.9359999999997</v>
      </c>
      <c r="O53" s="58">
        <v>688.8</v>
      </c>
      <c r="AO53" s="56" t="s">
        <v>557</v>
      </c>
      <c r="AP53" s="187" t="s">
        <v>558</v>
      </c>
      <c r="AQ53" s="57">
        <v>574</v>
      </c>
      <c r="AR53" s="57">
        <v>1930.9359999999997</v>
      </c>
      <c r="AS53" s="58">
        <v>688.8</v>
      </c>
    </row>
    <row r="54" spans="11:45">
      <c r="K54" s="56" t="s">
        <v>559</v>
      </c>
      <c r="L54" s="187" t="s">
        <v>560</v>
      </c>
      <c r="M54" s="57">
        <v>674</v>
      </c>
      <c r="N54" s="57">
        <v>2247.79</v>
      </c>
      <c r="O54" s="58">
        <v>808.8</v>
      </c>
      <c r="AO54" s="56" t="s">
        <v>559</v>
      </c>
      <c r="AP54" s="187" t="s">
        <v>560</v>
      </c>
      <c r="AQ54" s="57">
        <v>674</v>
      </c>
      <c r="AR54" s="57">
        <v>2247.79</v>
      </c>
      <c r="AS54" s="58">
        <v>808.8</v>
      </c>
    </row>
    <row r="55" spans="11:45">
      <c r="K55" s="56" t="s">
        <v>561</v>
      </c>
      <c r="L55" s="187" t="s">
        <v>562</v>
      </c>
      <c r="M55" s="57">
        <v>614</v>
      </c>
      <c r="N55" s="57">
        <v>2055.672</v>
      </c>
      <c r="O55" s="58">
        <v>736.8</v>
      </c>
      <c r="AO55" s="56" t="s">
        <v>561</v>
      </c>
      <c r="AP55" s="187" t="s">
        <v>562</v>
      </c>
      <c r="AQ55" s="57">
        <v>614</v>
      </c>
      <c r="AR55" s="57">
        <v>2055.672</v>
      </c>
      <c r="AS55" s="58">
        <v>736.8</v>
      </c>
    </row>
    <row r="56" spans="11:45">
      <c r="K56" s="56" t="s">
        <v>563</v>
      </c>
      <c r="L56" s="187" t="s">
        <v>563</v>
      </c>
      <c r="M56" s="57">
        <v>631</v>
      </c>
      <c r="N56" s="57">
        <v>2126.4699999999998</v>
      </c>
      <c r="O56" s="58">
        <v>757.2</v>
      </c>
      <c r="AO56" s="56" t="s">
        <v>563</v>
      </c>
      <c r="AP56" s="187" t="s">
        <v>563</v>
      </c>
      <c r="AQ56" s="57">
        <v>631</v>
      </c>
      <c r="AR56" s="57">
        <v>2126.4699999999998</v>
      </c>
      <c r="AS56" s="58">
        <v>757.2</v>
      </c>
    </row>
    <row r="57" spans="11:45">
      <c r="K57" s="56" t="s">
        <v>564</v>
      </c>
      <c r="L57" s="187" t="s">
        <v>564</v>
      </c>
      <c r="M57" s="57">
        <v>471</v>
      </c>
      <c r="N57" s="57">
        <v>1591.98</v>
      </c>
      <c r="O57" s="58">
        <v>565.20000000000005</v>
      </c>
      <c r="AO57" s="56" t="s">
        <v>564</v>
      </c>
      <c r="AP57" s="187" t="s">
        <v>564</v>
      </c>
      <c r="AQ57" s="57">
        <v>471</v>
      </c>
      <c r="AR57" s="57">
        <v>1591.98</v>
      </c>
      <c r="AS57" s="58">
        <v>565.20000000000005</v>
      </c>
    </row>
    <row r="58" spans="11:45">
      <c r="K58" s="56" t="s">
        <v>565</v>
      </c>
      <c r="L58" s="187" t="s">
        <v>565</v>
      </c>
      <c r="M58" s="57">
        <v>631</v>
      </c>
      <c r="N58" s="57">
        <v>2125.8389999999999</v>
      </c>
      <c r="O58" s="58">
        <v>757.2</v>
      </c>
      <c r="AO58" s="56" t="s">
        <v>565</v>
      </c>
      <c r="AP58" s="187" t="s">
        <v>565</v>
      </c>
      <c r="AQ58" s="57">
        <v>631</v>
      </c>
      <c r="AR58" s="57">
        <v>2125.8389999999999</v>
      </c>
      <c r="AS58" s="58">
        <v>757.2</v>
      </c>
    </row>
    <row r="59" spans="11:45">
      <c r="K59" s="56" t="s">
        <v>566</v>
      </c>
      <c r="L59" s="187" t="s">
        <v>566</v>
      </c>
      <c r="M59" s="57">
        <v>474</v>
      </c>
      <c r="N59" s="57">
        <v>1603.5420000000001</v>
      </c>
      <c r="O59" s="58">
        <v>568.79999999999995</v>
      </c>
      <c r="AO59" s="56" t="s">
        <v>566</v>
      </c>
      <c r="AP59" s="187" t="s">
        <v>566</v>
      </c>
      <c r="AQ59" s="57">
        <v>474</v>
      </c>
      <c r="AR59" s="57">
        <v>1603.5420000000001</v>
      </c>
      <c r="AS59" s="58">
        <v>568.79999999999995</v>
      </c>
    </row>
    <row r="60" spans="11:45">
      <c r="K60" s="56" t="s">
        <v>567</v>
      </c>
      <c r="L60" s="187" t="s">
        <v>567</v>
      </c>
      <c r="M60" s="57">
        <v>473</v>
      </c>
      <c r="N60" s="57">
        <v>1598.2669999999998</v>
      </c>
      <c r="O60" s="58">
        <v>567.6</v>
      </c>
      <c r="AO60" s="56" t="s">
        <v>567</v>
      </c>
      <c r="AP60" s="187" t="s">
        <v>567</v>
      </c>
      <c r="AQ60" s="57">
        <v>473</v>
      </c>
      <c r="AR60" s="57">
        <v>1598.2669999999998</v>
      </c>
      <c r="AS60" s="58">
        <v>567.6</v>
      </c>
    </row>
    <row r="61" spans="11:45">
      <c r="K61" s="56" t="s">
        <v>568</v>
      </c>
      <c r="L61" s="187" t="s">
        <v>568</v>
      </c>
      <c r="M61" s="57">
        <v>313</v>
      </c>
      <c r="N61" s="57">
        <v>1063.5740000000001</v>
      </c>
      <c r="O61" s="58">
        <v>375.6</v>
      </c>
      <c r="AO61" s="56" t="s">
        <v>568</v>
      </c>
      <c r="AP61" s="187" t="s">
        <v>568</v>
      </c>
      <c r="AQ61" s="57">
        <v>313</v>
      </c>
      <c r="AR61" s="57">
        <v>1063.5740000000001</v>
      </c>
      <c r="AS61" s="58">
        <v>375.6</v>
      </c>
    </row>
    <row r="62" spans="11:45">
      <c r="K62" s="56" t="s">
        <v>569</v>
      </c>
      <c r="L62" s="187" t="s">
        <v>569</v>
      </c>
      <c r="M62" s="57">
        <v>328</v>
      </c>
      <c r="N62" s="57">
        <v>1111.2640000000001</v>
      </c>
      <c r="O62" s="58">
        <v>393.6</v>
      </c>
      <c r="AO62" s="56" t="s">
        <v>569</v>
      </c>
      <c r="AP62" s="187" t="s">
        <v>569</v>
      </c>
      <c r="AQ62" s="57">
        <v>328</v>
      </c>
      <c r="AR62" s="57">
        <v>1111.2640000000001</v>
      </c>
      <c r="AS62" s="58">
        <v>393.6</v>
      </c>
    </row>
    <row r="63" spans="11:45">
      <c r="K63" s="56" t="s">
        <v>570</v>
      </c>
      <c r="L63" s="187" t="s">
        <v>570</v>
      </c>
      <c r="M63" s="57">
        <v>327</v>
      </c>
      <c r="N63" s="57">
        <v>1105.26</v>
      </c>
      <c r="O63" s="58">
        <v>392.4</v>
      </c>
      <c r="AO63" s="56" t="s">
        <v>570</v>
      </c>
      <c r="AP63" s="187" t="s">
        <v>570</v>
      </c>
      <c r="AQ63" s="57">
        <v>327</v>
      </c>
      <c r="AR63" s="57">
        <v>1105.26</v>
      </c>
      <c r="AS63" s="58">
        <v>392.4</v>
      </c>
    </row>
    <row r="64" spans="11:45">
      <c r="K64" s="56" t="s">
        <v>571</v>
      </c>
      <c r="L64" s="187" t="s">
        <v>571</v>
      </c>
      <c r="M64" s="57">
        <v>324</v>
      </c>
      <c r="N64" s="57">
        <v>1097.3879999999999</v>
      </c>
      <c r="O64" s="58">
        <v>388.8</v>
      </c>
      <c r="AO64" s="56" t="s">
        <v>571</v>
      </c>
      <c r="AP64" s="187" t="s">
        <v>571</v>
      </c>
      <c r="AQ64" s="57">
        <v>324</v>
      </c>
      <c r="AR64" s="57">
        <v>1097.3879999999999</v>
      </c>
      <c r="AS64" s="58">
        <v>388.8</v>
      </c>
    </row>
    <row r="65" spans="11:45">
      <c r="K65" s="56" t="s">
        <v>572</v>
      </c>
      <c r="L65" s="187" t="s">
        <v>572</v>
      </c>
      <c r="M65" s="57">
        <v>319</v>
      </c>
      <c r="N65" s="57">
        <v>1083.3240000000001</v>
      </c>
      <c r="O65" s="58">
        <v>382.8</v>
      </c>
      <c r="AO65" s="56" t="s">
        <v>572</v>
      </c>
      <c r="AP65" s="187" t="s">
        <v>572</v>
      </c>
      <c r="AQ65" s="57">
        <v>319</v>
      </c>
      <c r="AR65" s="57">
        <v>1083.3240000000001</v>
      </c>
      <c r="AS65" s="58">
        <v>382.8</v>
      </c>
    </row>
    <row r="66" spans="11:45">
      <c r="K66" s="56" t="s">
        <v>573</v>
      </c>
      <c r="L66" s="187" t="s">
        <v>573</v>
      </c>
      <c r="M66" s="57">
        <v>335</v>
      </c>
      <c r="N66" s="57">
        <v>1143.355</v>
      </c>
      <c r="O66" s="58">
        <v>402</v>
      </c>
      <c r="AO66" s="56" t="s">
        <v>573</v>
      </c>
      <c r="AP66" s="187" t="s">
        <v>573</v>
      </c>
      <c r="AQ66" s="57">
        <v>335</v>
      </c>
      <c r="AR66" s="57">
        <v>1143.355</v>
      </c>
      <c r="AS66" s="58">
        <v>402</v>
      </c>
    </row>
    <row r="67" spans="11:45">
      <c r="K67" s="56" t="s">
        <v>574</v>
      </c>
      <c r="L67" s="187" t="s">
        <v>574</v>
      </c>
      <c r="M67" s="57">
        <v>349</v>
      </c>
      <c r="N67" s="57">
        <v>1187.9959999999999</v>
      </c>
      <c r="O67" s="58">
        <v>418.8</v>
      </c>
      <c r="AO67" s="56" t="s">
        <v>574</v>
      </c>
      <c r="AP67" s="187" t="s">
        <v>574</v>
      </c>
      <c r="AQ67" s="57">
        <v>349</v>
      </c>
      <c r="AR67" s="57">
        <v>1187.9959999999999</v>
      </c>
      <c r="AS67" s="58">
        <v>418.8</v>
      </c>
    </row>
    <row r="68" spans="11:45">
      <c r="K68" s="56" t="s">
        <v>575</v>
      </c>
      <c r="L68" s="187" t="s">
        <v>575</v>
      </c>
      <c r="M68" s="57">
        <v>345</v>
      </c>
      <c r="N68" s="57">
        <v>1176.45</v>
      </c>
      <c r="O68" s="58">
        <v>414</v>
      </c>
      <c r="AO68" s="56" t="s">
        <v>575</v>
      </c>
      <c r="AP68" s="187" t="s">
        <v>575</v>
      </c>
      <c r="AQ68" s="57">
        <v>345</v>
      </c>
      <c r="AR68" s="57">
        <v>1176.45</v>
      </c>
      <c r="AS68" s="58">
        <v>414</v>
      </c>
    </row>
    <row r="69" spans="11:45">
      <c r="K69" s="56" t="s">
        <v>576</v>
      </c>
      <c r="L69" s="187" t="s">
        <v>577</v>
      </c>
      <c r="M69" s="57">
        <v>1078</v>
      </c>
      <c r="N69" s="57">
        <v>3656.5759999999996</v>
      </c>
      <c r="O69" s="58">
        <v>1293.5999999999999</v>
      </c>
      <c r="AO69" s="56" t="s">
        <v>576</v>
      </c>
      <c r="AP69" s="187" t="s">
        <v>577</v>
      </c>
      <c r="AQ69" s="57">
        <v>1078</v>
      </c>
      <c r="AR69" s="57">
        <v>3656.5759999999996</v>
      </c>
      <c r="AS69" s="58">
        <v>1293.5999999999999</v>
      </c>
    </row>
    <row r="70" spans="11:45">
      <c r="K70" s="56" t="s">
        <v>578</v>
      </c>
      <c r="L70" s="187" t="s">
        <v>579</v>
      </c>
      <c r="M70" s="57">
        <v>1069</v>
      </c>
      <c r="N70" s="57">
        <v>3568.3220000000001</v>
      </c>
      <c r="O70" s="58">
        <v>1282.8</v>
      </c>
      <c r="AO70" s="56" t="s">
        <v>578</v>
      </c>
      <c r="AP70" s="187" t="s">
        <v>579</v>
      </c>
      <c r="AQ70" s="57">
        <v>1069</v>
      </c>
      <c r="AR70" s="57">
        <v>3568.3220000000001</v>
      </c>
      <c r="AS70" s="58">
        <v>1282.8</v>
      </c>
    </row>
    <row r="71" spans="11:45">
      <c r="K71" s="56" t="s">
        <v>580</v>
      </c>
      <c r="L71" s="187" t="s">
        <v>581</v>
      </c>
      <c r="M71" s="57">
        <v>510</v>
      </c>
      <c r="N71" s="57">
        <v>1726.86</v>
      </c>
      <c r="O71" s="58">
        <v>612</v>
      </c>
      <c r="AO71" s="56" t="s">
        <v>580</v>
      </c>
      <c r="AP71" s="187" t="s">
        <v>581</v>
      </c>
      <c r="AQ71" s="57">
        <v>510</v>
      </c>
      <c r="AR71" s="57">
        <v>1726.86</v>
      </c>
      <c r="AS71" s="58">
        <v>612</v>
      </c>
    </row>
    <row r="72" spans="11:45">
      <c r="K72" s="56" t="s">
        <v>582</v>
      </c>
      <c r="L72" s="187" t="s">
        <v>583</v>
      </c>
      <c r="M72" s="57">
        <v>1840</v>
      </c>
      <c r="N72" s="57">
        <v>6187.92</v>
      </c>
      <c r="O72" s="58">
        <v>2208</v>
      </c>
      <c r="AO72" s="56" t="s">
        <v>582</v>
      </c>
      <c r="AP72" s="187" t="s">
        <v>583</v>
      </c>
      <c r="AQ72" s="57">
        <v>1840</v>
      </c>
      <c r="AR72" s="57">
        <v>6187.92</v>
      </c>
      <c r="AS72" s="58">
        <v>2208</v>
      </c>
    </row>
    <row r="73" spans="11:45">
      <c r="K73" s="56" t="s">
        <v>584</v>
      </c>
      <c r="L73" s="187" t="s">
        <v>585</v>
      </c>
      <c r="M73" s="57">
        <v>468</v>
      </c>
      <c r="N73" s="57">
        <v>1608.5160000000001</v>
      </c>
      <c r="O73" s="58">
        <v>561.6</v>
      </c>
      <c r="AO73" s="56" t="s">
        <v>584</v>
      </c>
      <c r="AP73" s="187" t="s">
        <v>585</v>
      </c>
      <c r="AQ73" s="57">
        <v>468</v>
      </c>
      <c r="AR73" s="57">
        <v>1608.5160000000001</v>
      </c>
      <c r="AS73" s="58">
        <v>561.6</v>
      </c>
    </row>
    <row r="74" spans="11:45">
      <c r="K74" s="56" t="s">
        <v>586</v>
      </c>
      <c r="L74" s="187" t="s">
        <v>587</v>
      </c>
      <c r="M74" s="57">
        <v>476</v>
      </c>
      <c r="N74" s="57">
        <v>1638.3919999999998</v>
      </c>
      <c r="O74" s="58">
        <v>571.20000000000005</v>
      </c>
      <c r="AO74" s="56" t="s">
        <v>586</v>
      </c>
      <c r="AP74" s="187" t="s">
        <v>587</v>
      </c>
      <c r="AQ74" s="57">
        <v>476</v>
      </c>
      <c r="AR74" s="57">
        <v>1638.3919999999998</v>
      </c>
      <c r="AS74" s="58">
        <v>571.20000000000005</v>
      </c>
    </row>
    <row r="75" spans="11:45">
      <c r="K75" s="56" t="s">
        <v>588</v>
      </c>
      <c r="L75" s="187" t="s">
        <v>589</v>
      </c>
      <c r="M75" s="57">
        <v>136</v>
      </c>
      <c r="N75" s="57">
        <v>476</v>
      </c>
      <c r="O75" s="58">
        <v>163.19999999999999</v>
      </c>
      <c r="AO75" s="56" t="s">
        <v>588</v>
      </c>
      <c r="AP75" s="187" t="s">
        <v>589</v>
      </c>
      <c r="AQ75" s="57">
        <v>136</v>
      </c>
      <c r="AR75" s="57">
        <v>476</v>
      </c>
      <c r="AS75" s="58">
        <v>163.19999999999999</v>
      </c>
    </row>
    <row r="76" spans="11:45">
      <c r="K76" s="56" t="s">
        <v>590</v>
      </c>
      <c r="L76" s="187" t="s">
        <v>591</v>
      </c>
      <c r="M76" s="57">
        <v>120</v>
      </c>
      <c r="N76" s="57">
        <v>417.72</v>
      </c>
      <c r="O76" s="58">
        <v>144</v>
      </c>
      <c r="AO76" s="56" t="s">
        <v>590</v>
      </c>
      <c r="AP76" s="187" t="s">
        <v>591</v>
      </c>
      <c r="AQ76" s="57">
        <v>120</v>
      </c>
      <c r="AR76" s="57">
        <v>417.72</v>
      </c>
      <c r="AS76" s="58">
        <v>144</v>
      </c>
    </row>
    <row r="77" spans="11:45">
      <c r="K77" s="56" t="s">
        <v>592</v>
      </c>
      <c r="L77" s="187" t="s">
        <v>593</v>
      </c>
      <c r="M77" s="57">
        <v>93</v>
      </c>
      <c r="N77" s="57">
        <v>316.94400000000002</v>
      </c>
      <c r="O77" s="58">
        <v>111.6</v>
      </c>
      <c r="AO77" s="56" t="s">
        <v>592</v>
      </c>
      <c r="AP77" s="187" t="s">
        <v>593</v>
      </c>
      <c r="AQ77" s="57">
        <v>93</v>
      </c>
      <c r="AR77" s="57">
        <v>316.94400000000002</v>
      </c>
      <c r="AS77" s="58">
        <v>111.6</v>
      </c>
    </row>
    <row r="78" spans="11:45">
      <c r="K78" s="56" t="s">
        <v>594</v>
      </c>
      <c r="L78" s="187" t="s">
        <v>593</v>
      </c>
      <c r="M78" s="57">
        <v>99</v>
      </c>
      <c r="N78" s="57">
        <v>336.99599999999998</v>
      </c>
      <c r="O78" s="58">
        <v>118.8</v>
      </c>
      <c r="AO78" s="56" t="s">
        <v>594</v>
      </c>
      <c r="AP78" s="187" t="s">
        <v>593</v>
      </c>
      <c r="AQ78" s="57">
        <v>99</v>
      </c>
      <c r="AR78" s="57">
        <v>336.99599999999998</v>
      </c>
      <c r="AS78" s="58">
        <v>118.8</v>
      </c>
    </row>
    <row r="79" spans="11:45">
      <c r="K79" s="56" t="s">
        <v>595</v>
      </c>
      <c r="L79" s="187" t="s">
        <v>596</v>
      </c>
      <c r="M79" s="57">
        <v>117</v>
      </c>
      <c r="N79" s="57">
        <v>395.34299999999996</v>
      </c>
      <c r="O79" s="58">
        <v>140.4</v>
      </c>
      <c r="AO79" s="56" t="s">
        <v>595</v>
      </c>
      <c r="AP79" s="187" t="s">
        <v>596</v>
      </c>
      <c r="AQ79" s="57">
        <v>117</v>
      </c>
      <c r="AR79" s="57">
        <v>395.34299999999996</v>
      </c>
      <c r="AS79" s="58">
        <v>140.4</v>
      </c>
    </row>
    <row r="80" spans="11:45">
      <c r="K80" s="56" t="s">
        <v>597</v>
      </c>
      <c r="L80" s="187" t="s">
        <v>596</v>
      </c>
      <c r="M80" s="57">
        <v>123</v>
      </c>
      <c r="N80" s="57">
        <v>415.37099999999998</v>
      </c>
      <c r="O80" s="58">
        <v>147.6</v>
      </c>
      <c r="AO80" s="56" t="s">
        <v>597</v>
      </c>
      <c r="AP80" s="187" t="s">
        <v>596</v>
      </c>
      <c r="AQ80" s="57">
        <v>123</v>
      </c>
      <c r="AR80" s="57">
        <v>415.37099999999998</v>
      </c>
      <c r="AS80" s="58">
        <v>147.6</v>
      </c>
    </row>
    <row r="81" spans="11:45">
      <c r="K81" s="56" t="s">
        <v>598</v>
      </c>
      <c r="L81" s="187" t="s">
        <v>599</v>
      </c>
      <c r="M81" s="57">
        <v>78</v>
      </c>
      <c r="N81" s="57">
        <v>268.78800000000001</v>
      </c>
      <c r="O81" s="58">
        <v>93.6</v>
      </c>
      <c r="AO81" s="56" t="s">
        <v>598</v>
      </c>
      <c r="AP81" s="187" t="s">
        <v>599</v>
      </c>
      <c r="AQ81" s="57">
        <v>78</v>
      </c>
      <c r="AR81" s="57">
        <v>268.78800000000001</v>
      </c>
      <c r="AS81" s="58">
        <v>93.6</v>
      </c>
    </row>
    <row r="199" spans="1:55" ht="12" thickBot="1">
      <c r="A199" s="315"/>
      <c r="B199" s="316"/>
      <c r="C199" s="317"/>
      <c r="D199" s="317"/>
      <c r="E199" s="318"/>
      <c r="F199" s="258"/>
      <c r="G199" s="319"/>
      <c r="H199" s="259"/>
      <c r="I199" s="259"/>
      <c r="J199" s="320"/>
      <c r="K199" s="315"/>
      <c r="L199" s="316"/>
      <c r="M199" s="317"/>
      <c r="N199" s="317"/>
      <c r="O199" s="318"/>
      <c r="P199" s="258"/>
      <c r="Q199" s="319"/>
      <c r="R199" s="259"/>
      <c r="S199" s="259"/>
      <c r="T199" s="320"/>
      <c r="U199" s="315"/>
      <c r="V199" s="316"/>
      <c r="W199" s="317"/>
      <c r="X199" s="317"/>
      <c r="Y199" s="318"/>
      <c r="Z199" s="258"/>
      <c r="AA199" s="319"/>
      <c r="AB199" s="259"/>
      <c r="AC199" s="259"/>
      <c r="AD199" s="320"/>
      <c r="AE199" s="315"/>
      <c r="AF199" s="316"/>
      <c r="AG199" s="317"/>
      <c r="AH199" s="317"/>
      <c r="AI199" s="318"/>
      <c r="AJ199" s="258"/>
      <c r="AK199" s="319"/>
      <c r="AL199" s="259"/>
      <c r="AM199" s="259"/>
      <c r="AN199" s="320"/>
      <c r="AO199" s="315"/>
      <c r="AP199" s="316"/>
      <c r="AQ199" s="317"/>
      <c r="AR199" s="317"/>
      <c r="AS199" s="318"/>
      <c r="AT199" s="258"/>
      <c r="AU199" s="319"/>
      <c r="AV199" s="259"/>
      <c r="AW199" s="259"/>
      <c r="AX199" s="320"/>
      <c r="AY199" s="315"/>
      <c r="AZ199" s="316"/>
      <c r="BA199" s="317"/>
      <c r="BB199" s="317"/>
      <c r="BC199" s="318"/>
    </row>
    <row r="200" spans="1:55" ht="12" thickBot="1">
      <c r="A200" s="482" t="s">
        <v>391</v>
      </c>
      <c r="B200" s="483"/>
      <c r="C200" s="483"/>
      <c r="D200" s="483"/>
      <c r="E200" s="484"/>
      <c r="F200" s="482" t="s">
        <v>391</v>
      </c>
      <c r="G200" s="483"/>
      <c r="H200" s="483"/>
      <c r="I200" s="483"/>
      <c r="J200" s="484"/>
      <c r="K200" s="482" t="s">
        <v>391</v>
      </c>
      <c r="L200" s="483"/>
      <c r="M200" s="483"/>
      <c r="N200" s="483"/>
      <c r="O200" s="484"/>
      <c r="P200" s="482" t="s">
        <v>391</v>
      </c>
      <c r="Q200" s="483"/>
      <c r="R200" s="483"/>
      <c r="S200" s="483"/>
      <c r="T200" s="484"/>
      <c r="U200" s="482" t="s">
        <v>391</v>
      </c>
      <c r="V200" s="483"/>
      <c r="W200" s="483"/>
      <c r="X200" s="483"/>
      <c r="Y200" s="484"/>
      <c r="Z200" s="482" t="s">
        <v>391</v>
      </c>
      <c r="AA200" s="483"/>
      <c r="AB200" s="483"/>
      <c r="AC200" s="483"/>
      <c r="AD200" s="484"/>
      <c r="AE200" s="482" t="s">
        <v>391</v>
      </c>
      <c r="AF200" s="483"/>
      <c r="AG200" s="483"/>
      <c r="AH200" s="483"/>
      <c r="AI200" s="484"/>
      <c r="AJ200" s="482" t="s">
        <v>391</v>
      </c>
      <c r="AK200" s="483"/>
      <c r="AL200" s="483"/>
      <c r="AM200" s="483"/>
      <c r="AN200" s="484"/>
      <c r="AO200" s="482" t="s">
        <v>391</v>
      </c>
      <c r="AP200" s="483"/>
      <c r="AQ200" s="483"/>
      <c r="AR200" s="483"/>
      <c r="AS200" s="484"/>
      <c r="AT200" s="482" t="s">
        <v>391</v>
      </c>
      <c r="AU200" s="483"/>
      <c r="AV200" s="483"/>
      <c r="AW200" s="483"/>
      <c r="AX200" s="484"/>
      <c r="AY200" s="482" t="s">
        <v>391</v>
      </c>
      <c r="AZ200" s="483"/>
      <c r="BA200" s="483"/>
      <c r="BB200" s="483"/>
      <c r="BC200" s="484"/>
    </row>
    <row r="201" spans="1:55">
      <c r="A201" s="309"/>
      <c r="B201" s="310"/>
      <c r="C201" s="311"/>
      <c r="D201" s="311"/>
      <c r="E201" s="312"/>
      <c r="F201" s="103"/>
      <c r="G201" s="313"/>
      <c r="H201" s="104"/>
      <c r="I201" s="104"/>
      <c r="J201" s="105"/>
      <c r="K201" s="309"/>
      <c r="L201" s="310"/>
      <c r="M201" s="311"/>
      <c r="N201" s="311"/>
      <c r="O201" s="312"/>
      <c r="P201" s="103"/>
      <c r="Q201" s="313"/>
      <c r="R201" s="104"/>
      <c r="S201" s="104"/>
      <c r="T201" s="105"/>
      <c r="U201" s="309"/>
      <c r="V201" s="310"/>
      <c r="W201" s="311"/>
      <c r="X201" s="311"/>
      <c r="Y201" s="312"/>
      <c r="Z201" s="103"/>
      <c r="AA201" s="313"/>
      <c r="AB201" s="104"/>
      <c r="AC201" s="104"/>
      <c r="AD201" s="105"/>
      <c r="AE201" s="309"/>
      <c r="AF201" s="310"/>
      <c r="AG201" s="311"/>
      <c r="AH201" s="311"/>
      <c r="AI201" s="312"/>
      <c r="AJ201" s="103"/>
      <c r="AK201" s="313"/>
      <c r="AL201" s="104"/>
      <c r="AM201" s="104"/>
      <c r="AN201" s="105"/>
      <c r="AO201" s="309"/>
      <c r="AP201" s="310"/>
      <c r="AQ201" s="311"/>
      <c r="AR201" s="311"/>
      <c r="AS201" s="312"/>
      <c r="AT201" s="103"/>
      <c r="AU201" s="313"/>
      <c r="AV201" s="104"/>
      <c r="AW201" s="104"/>
      <c r="AX201" s="105"/>
      <c r="AY201" s="309"/>
      <c r="AZ201" s="310"/>
      <c r="BA201" s="311"/>
      <c r="BB201" s="311"/>
      <c r="BC201" s="312"/>
    </row>
    <row r="202" spans="1:55">
      <c r="A202" s="56" t="s">
        <v>418</v>
      </c>
      <c r="B202" s="57" t="s">
        <v>386</v>
      </c>
      <c r="C202" s="57">
        <v>15</v>
      </c>
      <c r="D202" s="57">
        <v>55.95</v>
      </c>
      <c r="E202" s="58">
        <v>28.364999999999998</v>
      </c>
      <c r="F202" s="47" t="s">
        <v>420</v>
      </c>
      <c r="G202" s="46" t="s">
        <v>420</v>
      </c>
      <c r="H202" s="46">
        <v>99</v>
      </c>
      <c r="I202" s="46">
        <v>385.11</v>
      </c>
      <c r="J202" s="59">
        <v>155.43</v>
      </c>
      <c r="K202" s="56" t="s">
        <v>425</v>
      </c>
      <c r="L202" s="57" t="s">
        <v>426</v>
      </c>
      <c r="M202" s="57">
        <v>276</v>
      </c>
      <c r="N202" s="57">
        <v>957.16800000000001</v>
      </c>
      <c r="O202" s="58">
        <v>331.2</v>
      </c>
      <c r="P202" s="47" t="s">
        <v>425</v>
      </c>
      <c r="Q202" s="46" t="s">
        <v>426</v>
      </c>
      <c r="R202" s="46">
        <v>276</v>
      </c>
      <c r="S202" s="46">
        <v>866.64</v>
      </c>
      <c r="T202" s="59">
        <v>195.96</v>
      </c>
      <c r="V202" s="57"/>
      <c r="Z202" s="47" t="s">
        <v>453</v>
      </c>
      <c r="AA202" s="46" t="s">
        <v>454</v>
      </c>
      <c r="AB202" s="46">
        <v>172</v>
      </c>
      <c r="AC202" s="46">
        <v>528.38400000000001</v>
      </c>
      <c r="AD202" s="59">
        <v>0</v>
      </c>
      <c r="AF202" s="57"/>
      <c r="AJ202" s="47" t="s">
        <v>425</v>
      </c>
      <c r="AK202" s="46" t="s">
        <v>426</v>
      </c>
      <c r="AL202" s="46">
        <v>276</v>
      </c>
      <c r="AM202" s="46">
        <v>866.64</v>
      </c>
      <c r="AN202" s="59">
        <v>195.96</v>
      </c>
      <c r="AO202" s="56" t="s">
        <v>425</v>
      </c>
      <c r="AP202" s="57" t="s">
        <v>426</v>
      </c>
      <c r="AQ202" s="57">
        <v>276</v>
      </c>
      <c r="AR202" s="57">
        <v>957.16800000000001</v>
      </c>
      <c r="AS202" s="58">
        <v>331.2</v>
      </c>
      <c r="AT202" s="47" t="s">
        <v>420</v>
      </c>
      <c r="AU202" s="46" t="s">
        <v>420</v>
      </c>
      <c r="AV202" s="46">
        <v>99</v>
      </c>
      <c r="AW202" s="46">
        <v>385.11</v>
      </c>
      <c r="AX202" s="59">
        <v>155.43</v>
      </c>
      <c r="AY202" s="56" t="s">
        <v>418</v>
      </c>
      <c r="AZ202" s="57" t="s">
        <v>386</v>
      </c>
      <c r="BA202" s="57">
        <v>15</v>
      </c>
      <c r="BB202" s="57">
        <v>55.95</v>
      </c>
      <c r="BC202" s="58">
        <v>28.364999999999998</v>
      </c>
    </row>
    <row r="203" spans="1:55">
      <c r="A203" s="56" t="s">
        <v>419</v>
      </c>
      <c r="B203" s="57" t="s">
        <v>385</v>
      </c>
      <c r="C203" s="57">
        <v>0</v>
      </c>
      <c r="D203" s="57">
        <v>0</v>
      </c>
      <c r="E203" s="58">
        <v>0</v>
      </c>
      <c r="F203" s="47" t="s">
        <v>421</v>
      </c>
      <c r="G203" s="46" t="s">
        <v>421</v>
      </c>
      <c r="H203" s="46">
        <v>104</v>
      </c>
      <c r="I203" s="46">
        <v>404.87200000000007</v>
      </c>
      <c r="J203" s="59">
        <v>163.28</v>
      </c>
      <c r="K203" s="56" t="s">
        <v>427</v>
      </c>
      <c r="L203" s="57" t="s">
        <v>428</v>
      </c>
      <c r="M203" s="57">
        <v>278</v>
      </c>
      <c r="N203" s="57">
        <v>964.38199999999995</v>
      </c>
      <c r="O203" s="58">
        <v>333.6</v>
      </c>
      <c r="P203" s="47" t="s">
        <v>427</v>
      </c>
      <c r="Q203" s="46" t="s">
        <v>428</v>
      </c>
      <c r="R203" s="46">
        <v>278</v>
      </c>
      <c r="S203" s="46">
        <v>872.92</v>
      </c>
      <c r="T203" s="59">
        <v>197.38</v>
      </c>
      <c r="V203" s="57"/>
      <c r="Z203" s="47" t="s">
        <v>455</v>
      </c>
      <c r="AA203" s="46" t="s">
        <v>456</v>
      </c>
      <c r="AB203" s="46">
        <v>174</v>
      </c>
      <c r="AC203" s="46">
        <v>534.00599999999997</v>
      </c>
      <c r="AD203" s="59">
        <v>0</v>
      </c>
      <c r="AF203" s="57"/>
      <c r="AJ203" s="47" t="s">
        <v>427</v>
      </c>
      <c r="AK203" s="46" t="s">
        <v>428</v>
      </c>
      <c r="AL203" s="46">
        <v>278</v>
      </c>
      <c r="AM203" s="46">
        <v>872.92</v>
      </c>
      <c r="AN203" s="59">
        <v>197.38</v>
      </c>
      <c r="AO203" s="56" t="s">
        <v>427</v>
      </c>
      <c r="AP203" s="57" t="s">
        <v>428</v>
      </c>
      <c r="AQ203" s="57">
        <v>278</v>
      </c>
      <c r="AR203" s="57">
        <v>964.38199999999995</v>
      </c>
      <c r="AS203" s="58">
        <v>333.6</v>
      </c>
      <c r="AT203" s="47" t="s">
        <v>421</v>
      </c>
      <c r="AU203" s="46" t="s">
        <v>421</v>
      </c>
      <c r="AV203" s="46">
        <v>104</v>
      </c>
      <c r="AW203" s="46">
        <v>404.87200000000007</v>
      </c>
      <c r="AX203" s="59">
        <v>163.28</v>
      </c>
      <c r="AY203" s="56" t="s">
        <v>419</v>
      </c>
      <c r="AZ203" s="57" t="s">
        <v>385</v>
      </c>
      <c r="BA203" s="57">
        <v>0</v>
      </c>
      <c r="BB203" s="57">
        <v>0</v>
      </c>
      <c r="BC203" s="58">
        <v>0</v>
      </c>
    </row>
    <row r="204" spans="1:55">
      <c r="B204" s="57"/>
      <c r="F204" s="47" t="s">
        <v>422</v>
      </c>
      <c r="G204" s="46" t="s">
        <v>422</v>
      </c>
      <c r="H204" s="46">
        <v>109</v>
      </c>
      <c r="I204" s="46">
        <v>424.66399999999999</v>
      </c>
      <c r="J204" s="59">
        <v>171.13</v>
      </c>
      <c r="K204" s="56" t="s">
        <v>429</v>
      </c>
      <c r="L204" s="57" t="s">
        <v>430</v>
      </c>
      <c r="M204" s="57">
        <v>280</v>
      </c>
      <c r="N204" s="57">
        <v>973.84</v>
      </c>
      <c r="O204" s="58">
        <v>336</v>
      </c>
      <c r="P204" s="47" t="s">
        <v>429</v>
      </c>
      <c r="Q204" s="46" t="s">
        <v>430</v>
      </c>
      <c r="R204" s="46">
        <v>280</v>
      </c>
      <c r="S204" s="46">
        <v>882</v>
      </c>
      <c r="T204" s="59">
        <v>198.8</v>
      </c>
      <c r="V204" s="57"/>
      <c r="Z204" s="47" t="s">
        <v>457</v>
      </c>
      <c r="AA204" s="46" t="s">
        <v>458</v>
      </c>
      <c r="AB204" s="46">
        <v>160</v>
      </c>
      <c r="AC204" s="46">
        <v>491.52</v>
      </c>
      <c r="AD204" s="59">
        <v>0</v>
      </c>
      <c r="AF204" s="57"/>
      <c r="AJ204" s="47" t="s">
        <v>429</v>
      </c>
      <c r="AK204" s="46" t="s">
        <v>430</v>
      </c>
      <c r="AL204" s="46">
        <v>280</v>
      </c>
      <c r="AM204" s="46">
        <v>882</v>
      </c>
      <c r="AN204" s="59">
        <v>198.8</v>
      </c>
      <c r="AO204" s="56" t="s">
        <v>429</v>
      </c>
      <c r="AP204" s="57" t="s">
        <v>430</v>
      </c>
      <c r="AQ204" s="57">
        <v>280</v>
      </c>
      <c r="AR204" s="57">
        <v>973.84</v>
      </c>
      <c r="AS204" s="58">
        <v>336</v>
      </c>
      <c r="AT204" s="47" t="s">
        <v>422</v>
      </c>
      <c r="AU204" s="46" t="s">
        <v>422</v>
      </c>
      <c r="AV204" s="46">
        <v>109</v>
      </c>
      <c r="AW204" s="46">
        <v>424.66399999999999</v>
      </c>
      <c r="AX204" s="59">
        <v>171.13</v>
      </c>
      <c r="AZ204" s="57"/>
    </row>
    <row r="205" spans="1:55">
      <c r="B205" s="57"/>
      <c r="F205" s="47" t="s">
        <v>423</v>
      </c>
      <c r="G205" s="46" t="s">
        <v>424</v>
      </c>
      <c r="H205" s="46">
        <v>26</v>
      </c>
      <c r="I205" s="46">
        <v>97.448000000000008</v>
      </c>
      <c r="J205" s="59">
        <v>40.82</v>
      </c>
      <c r="K205" s="56" t="s">
        <v>431</v>
      </c>
      <c r="L205" s="57" t="s">
        <v>432</v>
      </c>
      <c r="M205" s="57">
        <v>281</v>
      </c>
      <c r="N205" s="57">
        <v>977.31799999999998</v>
      </c>
      <c r="O205" s="58">
        <v>337.2</v>
      </c>
      <c r="P205" s="47" t="s">
        <v>441</v>
      </c>
      <c r="Q205" s="46" t="s">
        <v>442</v>
      </c>
      <c r="R205" s="46">
        <v>281</v>
      </c>
      <c r="S205" s="46">
        <v>885.15</v>
      </c>
      <c r="T205" s="59">
        <v>199.51</v>
      </c>
      <c r="V205" s="57"/>
      <c r="Z205" s="47" t="s">
        <v>459</v>
      </c>
      <c r="AA205" s="46" t="s">
        <v>459</v>
      </c>
      <c r="AB205" s="46">
        <v>43</v>
      </c>
      <c r="AC205" s="46">
        <v>137.34199999999998</v>
      </c>
      <c r="AD205" s="59">
        <v>0</v>
      </c>
      <c r="AF205" s="57"/>
      <c r="AJ205" s="47" t="s">
        <v>441</v>
      </c>
      <c r="AK205" s="46" t="s">
        <v>442</v>
      </c>
      <c r="AL205" s="46">
        <v>281</v>
      </c>
      <c r="AM205" s="46">
        <v>885.15</v>
      </c>
      <c r="AN205" s="59">
        <v>199.51</v>
      </c>
      <c r="AO205" s="56" t="s">
        <v>431</v>
      </c>
      <c r="AP205" s="57" t="s">
        <v>432</v>
      </c>
      <c r="AQ205" s="57">
        <v>281</v>
      </c>
      <c r="AR205" s="57">
        <v>977.31799999999998</v>
      </c>
      <c r="AS205" s="58">
        <v>337.2</v>
      </c>
      <c r="AT205" s="47" t="s">
        <v>423</v>
      </c>
      <c r="AU205" s="46" t="s">
        <v>424</v>
      </c>
      <c r="AV205" s="46">
        <v>26</v>
      </c>
      <c r="AW205" s="46">
        <v>97.448000000000008</v>
      </c>
      <c r="AX205" s="59">
        <v>40.82</v>
      </c>
      <c r="AZ205" s="57"/>
    </row>
    <row r="206" spans="1:55">
      <c r="B206" s="57"/>
      <c r="G206" s="46"/>
      <c r="K206" s="56" t="s">
        <v>433</v>
      </c>
      <c r="L206" s="57" t="s">
        <v>434</v>
      </c>
      <c r="M206" s="57">
        <v>287</v>
      </c>
      <c r="N206" s="57">
        <v>999.33399999999995</v>
      </c>
      <c r="O206" s="58">
        <v>344.4</v>
      </c>
      <c r="P206" s="47" t="s">
        <v>443</v>
      </c>
      <c r="Q206" s="46" t="s">
        <v>434</v>
      </c>
      <c r="R206" s="46">
        <v>287</v>
      </c>
      <c r="S206" s="46">
        <v>904.05</v>
      </c>
      <c r="T206" s="59">
        <v>203.77</v>
      </c>
      <c r="V206" s="57"/>
      <c r="AA206" s="46"/>
      <c r="AF206" s="57"/>
      <c r="AJ206" s="47" t="s">
        <v>443</v>
      </c>
      <c r="AK206" s="46" t="s">
        <v>434</v>
      </c>
      <c r="AL206" s="46">
        <v>287</v>
      </c>
      <c r="AM206" s="46">
        <v>904.05</v>
      </c>
      <c r="AN206" s="59">
        <v>203.77</v>
      </c>
      <c r="AO206" s="56" t="s">
        <v>433</v>
      </c>
      <c r="AP206" s="57" t="s">
        <v>434</v>
      </c>
      <c r="AQ206" s="57">
        <v>287</v>
      </c>
      <c r="AR206" s="57">
        <v>999.33399999999995</v>
      </c>
      <c r="AS206" s="58">
        <v>344.4</v>
      </c>
      <c r="AU206" s="46"/>
      <c r="AZ206" s="57"/>
    </row>
    <row r="207" spans="1:55">
      <c r="B207" s="57"/>
      <c r="G207" s="46"/>
      <c r="K207" s="56" t="s">
        <v>435</v>
      </c>
      <c r="L207" s="57" t="s">
        <v>436</v>
      </c>
      <c r="M207" s="57">
        <v>287</v>
      </c>
      <c r="N207" s="57">
        <v>999.33399999999995</v>
      </c>
      <c r="O207" s="58">
        <v>344.4</v>
      </c>
      <c r="P207" s="47" t="s">
        <v>444</v>
      </c>
      <c r="Q207" s="46" t="s">
        <v>436</v>
      </c>
      <c r="R207" s="46">
        <v>287</v>
      </c>
      <c r="S207" s="46">
        <v>904.05</v>
      </c>
      <c r="T207" s="59">
        <v>203.77</v>
      </c>
      <c r="V207" s="57"/>
      <c r="AA207" s="46"/>
      <c r="AF207" s="57"/>
      <c r="AJ207" s="47" t="s">
        <v>444</v>
      </c>
      <c r="AK207" s="46" t="s">
        <v>436</v>
      </c>
      <c r="AL207" s="46">
        <v>287</v>
      </c>
      <c r="AM207" s="46">
        <v>904.05</v>
      </c>
      <c r="AN207" s="59">
        <v>203.77</v>
      </c>
      <c r="AO207" s="56" t="s">
        <v>435</v>
      </c>
      <c r="AP207" s="57" t="s">
        <v>436</v>
      </c>
      <c r="AQ207" s="57">
        <v>287</v>
      </c>
      <c r="AR207" s="57">
        <v>999.33399999999995</v>
      </c>
      <c r="AS207" s="58">
        <v>344.4</v>
      </c>
      <c r="AU207" s="46"/>
      <c r="AZ207" s="57"/>
    </row>
    <row r="208" spans="1:55">
      <c r="B208" s="57"/>
      <c r="G208" s="46"/>
      <c r="K208" s="56" t="s">
        <v>437</v>
      </c>
      <c r="L208" s="57" t="s">
        <v>438</v>
      </c>
      <c r="M208" s="57">
        <v>289</v>
      </c>
      <c r="N208" s="57">
        <v>1006.8759999999999</v>
      </c>
      <c r="O208" s="58">
        <v>346.8</v>
      </c>
      <c r="P208" s="47" t="s">
        <v>445</v>
      </c>
      <c r="Q208" s="46" t="s">
        <v>438</v>
      </c>
      <c r="R208" s="46">
        <v>289</v>
      </c>
      <c r="S208" s="46">
        <v>913.24</v>
      </c>
      <c r="T208" s="59">
        <v>205.19</v>
      </c>
      <c r="V208" s="57"/>
      <c r="AA208" s="46"/>
      <c r="AF208" s="57"/>
      <c r="AJ208" s="47" t="s">
        <v>445</v>
      </c>
      <c r="AK208" s="46" t="s">
        <v>438</v>
      </c>
      <c r="AL208" s="46">
        <v>289</v>
      </c>
      <c r="AM208" s="46">
        <v>913.24</v>
      </c>
      <c r="AN208" s="59">
        <v>205.19</v>
      </c>
      <c r="AO208" s="56" t="s">
        <v>437</v>
      </c>
      <c r="AP208" s="57" t="s">
        <v>438</v>
      </c>
      <c r="AQ208" s="57">
        <v>289</v>
      </c>
      <c r="AR208" s="57">
        <v>1006.8759999999999</v>
      </c>
      <c r="AS208" s="58">
        <v>346.8</v>
      </c>
      <c r="AU208" s="46"/>
      <c r="AZ208" s="57"/>
    </row>
    <row r="209" spans="2:52">
      <c r="B209" s="57"/>
      <c r="G209" s="46"/>
      <c r="K209" s="56" t="s">
        <v>439</v>
      </c>
      <c r="L209" s="57" t="s">
        <v>440</v>
      </c>
      <c r="M209" s="57">
        <v>289</v>
      </c>
      <c r="N209" s="57">
        <v>1006.8759999999999</v>
      </c>
      <c r="O209" s="58">
        <v>346.8</v>
      </c>
      <c r="P209" s="47" t="s">
        <v>446</v>
      </c>
      <c r="Q209" s="46" t="s">
        <v>440</v>
      </c>
      <c r="R209" s="46">
        <v>289</v>
      </c>
      <c r="S209" s="46">
        <v>913.24</v>
      </c>
      <c r="T209" s="59">
        <v>205.19</v>
      </c>
      <c r="V209" s="57"/>
      <c r="AA209" s="46"/>
      <c r="AF209" s="57"/>
      <c r="AJ209" s="47" t="s">
        <v>446</v>
      </c>
      <c r="AK209" s="46" t="s">
        <v>440</v>
      </c>
      <c r="AL209" s="46">
        <v>289</v>
      </c>
      <c r="AM209" s="46">
        <v>913.24</v>
      </c>
      <c r="AN209" s="59">
        <v>205.19</v>
      </c>
      <c r="AO209" s="56" t="s">
        <v>439</v>
      </c>
      <c r="AP209" s="57" t="s">
        <v>440</v>
      </c>
      <c r="AQ209" s="57">
        <v>289</v>
      </c>
      <c r="AR209" s="57">
        <v>1006.8759999999999</v>
      </c>
      <c r="AS209" s="58">
        <v>346.8</v>
      </c>
      <c r="AU209" s="46"/>
      <c r="AZ209" s="57"/>
    </row>
    <row r="210" spans="2:52">
      <c r="B210" s="57"/>
      <c r="G210" s="46"/>
      <c r="K210" s="56" t="s">
        <v>423</v>
      </c>
      <c r="L210" s="57" t="s">
        <v>424</v>
      </c>
      <c r="M210" s="57">
        <v>26</v>
      </c>
      <c r="N210" s="57">
        <v>90.661999999999992</v>
      </c>
      <c r="O210" s="58">
        <v>31.2</v>
      </c>
      <c r="P210" s="47" t="s">
        <v>447</v>
      </c>
      <c r="Q210" s="46" t="s">
        <v>448</v>
      </c>
      <c r="R210" s="46">
        <v>199</v>
      </c>
      <c r="S210" s="46">
        <v>650.73</v>
      </c>
      <c r="T210" s="59">
        <v>141.29</v>
      </c>
      <c r="V210" s="57"/>
      <c r="AA210" s="46"/>
      <c r="AF210" s="57"/>
      <c r="AJ210" s="47" t="s">
        <v>447</v>
      </c>
      <c r="AK210" s="46" t="s">
        <v>448</v>
      </c>
      <c r="AL210" s="46">
        <v>199</v>
      </c>
      <c r="AM210" s="46">
        <v>650.73</v>
      </c>
      <c r="AN210" s="59">
        <v>141.29</v>
      </c>
      <c r="AO210" s="56" t="s">
        <v>423</v>
      </c>
      <c r="AP210" s="57" t="s">
        <v>424</v>
      </c>
      <c r="AQ210" s="57">
        <v>26</v>
      </c>
      <c r="AR210" s="57">
        <v>90.661999999999992</v>
      </c>
      <c r="AS210" s="58">
        <v>31.2</v>
      </c>
      <c r="AU210" s="46"/>
      <c r="AZ210" s="57"/>
    </row>
    <row r="211" spans="2:52">
      <c r="B211" s="57"/>
      <c r="G211" s="46"/>
      <c r="L211" s="57"/>
      <c r="P211" s="47" t="s">
        <v>449</v>
      </c>
      <c r="Q211" s="46" t="s">
        <v>448</v>
      </c>
      <c r="R211" s="46">
        <v>219</v>
      </c>
      <c r="S211" s="46">
        <v>718.32</v>
      </c>
      <c r="T211" s="59">
        <v>155.49</v>
      </c>
      <c r="V211" s="57"/>
      <c r="AA211" s="46"/>
      <c r="AF211" s="57"/>
      <c r="AJ211" s="47" t="s">
        <v>449</v>
      </c>
      <c r="AK211" s="46" t="s">
        <v>448</v>
      </c>
      <c r="AL211" s="46">
        <v>219</v>
      </c>
      <c r="AM211" s="46">
        <v>718.32</v>
      </c>
      <c r="AN211" s="59">
        <v>155.49</v>
      </c>
      <c r="AP211" s="57"/>
      <c r="AU211" s="46"/>
      <c r="AZ211" s="57"/>
    </row>
    <row r="212" spans="2:52">
      <c r="B212" s="57"/>
      <c r="G212" s="46"/>
      <c r="L212" s="57"/>
      <c r="P212" s="47" t="s">
        <v>450</v>
      </c>
      <c r="Q212" s="46" t="s">
        <v>451</v>
      </c>
      <c r="R212" s="46">
        <v>295</v>
      </c>
      <c r="S212" s="46">
        <v>962.58500000000004</v>
      </c>
      <c r="T212" s="59">
        <v>209.45</v>
      </c>
      <c r="V212" s="57"/>
      <c r="AA212" s="46"/>
      <c r="AF212" s="57"/>
      <c r="AJ212" s="47" t="s">
        <v>450</v>
      </c>
      <c r="AK212" s="46" t="s">
        <v>451</v>
      </c>
      <c r="AL212" s="46">
        <v>295</v>
      </c>
      <c r="AM212" s="46">
        <v>962.58500000000004</v>
      </c>
      <c r="AN212" s="59">
        <v>209.45</v>
      </c>
      <c r="AP212" s="57"/>
      <c r="AU212" s="46"/>
      <c r="AZ212" s="57"/>
    </row>
    <row r="213" spans="2:52">
      <c r="B213" s="57"/>
      <c r="G213" s="46"/>
      <c r="L213" s="57"/>
      <c r="P213" s="47" t="s">
        <v>452</v>
      </c>
      <c r="Q213" s="46" t="s">
        <v>452</v>
      </c>
      <c r="R213" s="46">
        <v>8</v>
      </c>
      <c r="S213" s="46">
        <v>26.695999999999998</v>
      </c>
      <c r="T213" s="59">
        <v>5.68</v>
      </c>
      <c r="V213" s="57"/>
      <c r="AA213" s="46"/>
      <c r="AF213" s="57"/>
      <c r="AJ213" s="47" t="s">
        <v>452</v>
      </c>
      <c r="AK213" s="46" t="s">
        <v>452</v>
      </c>
      <c r="AL213" s="46">
        <v>8</v>
      </c>
      <c r="AM213" s="46">
        <v>26.695999999999998</v>
      </c>
      <c r="AN213" s="59">
        <v>5.68</v>
      </c>
      <c r="AP213" s="57"/>
      <c r="AU213" s="46"/>
      <c r="AZ213" s="57"/>
    </row>
    <row r="214" spans="2:52">
      <c r="B214" s="57"/>
      <c r="G214" s="46"/>
      <c r="L214" s="57"/>
      <c r="Q214" s="46"/>
      <c r="V214" s="57"/>
      <c r="AA214" s="46"/>
      <c r="AF214" s="57"/>
      <c r="AK214" s="46"/>
      <c r="AP214" s="57"/>
      <c r="AU214" s="46"/>
      <c r="AZ214" s="57"/>
    </row>
    <row r="215" spans="2:52">
      <c r="B215" s="57"/>
      <c r="G215" s="46"/>
      <c r="L215" s="57"/>
      <c r="Q215" s="46"/>
      <c r="V215" s="57"/>
      <c r="AA215" s="46"/>
      <c r="AF215" s="57"/>
      <c r="AK215" s="46"/>
      <c r="AP215" s="57"/>
      <c r="AU215" s="46"/>
      <c r="AZ215" s="57"/>
    </row>
    <row r="216" spans="2:52">
      <c r="B216" s="57"/>
      <c r="G216" s="46"/>
      <c r="L216" s="57"/>
      <c r="Q216" s="46"/>
      <c r="V216" s="57"/>
      <c r="AA216" s="46"/>
      <c r="AF216" s="57"/>
      <c r="AK216" s="46"/>
      <c r="AP216" s="57"/>
      <c r="AU216" s="46"/>
      <c r="AZ216" s="57"/>
    </row>
    <row r="217" spans="2:52">
      <c r="B217" s="57"/>
      <c r="G217" s="46"/>
      <c r="L217" s="57"/>
      <c r="Q217" s="46"/>
      <c r="V217" s="57"/>
      <c r="AA217" s="46"/>
      <c r="AF217" s="57"/>
      <c r="AK217" s="46"/>
      <c r="AP217" s="57"/>
      <c r="AU217" s="46"/>
      <c r="AZ217" s="57"/>
    </row>
    <row r="218" spans="2:52">
      <c r="B218" s="57"/>
      <c r="G218" s="46"/>
      <c r="L218" s="57"/>
      <c r="Q218" s="46"/>
      <c r="V218" s="57"/>
      <c r="AA218" s="46"/>
      <c r="AF218" s="57"/>
      <c r="AK218" s="46"/>
      <c r="AP218" s="57"/>
      <c r="AU218" s="46"/>
      <c r="AZ218" s="57"/>
    </row>
    <row r="219" spans="2:52">
      <c r="B219" s="57"/>
      <c r="G219" s="46"/>
      <c r="L219" s="57"/>
      <c r="Q219" s="46"/>
      <c r="V219" s="57"/>
      <c r="AA219" s="46"/>
      <c r="AF219" s="57"/>
      <c r="AK219" s="46"/>
      <c r="AP219" s="57"/>
      <c r="AU219" s="46"/>
      <c r="AZ219" s="57"/>
    </row>
    <row r="220" spans="2:52">
      <c r="B220" s="57"/>
      <c r="G220" s="46"/>
      <c r="L220" s="57"/>
      <c r="Q220" s="46"/>
      <c r="V220" s="57"/>
      <c r="AA220" s="46"/>
      <c r="AF220" s="57"/>
      <c r="AK220" s="46"/>
      <c r="AP220" s="57"/>
      <c r="AU220" s="46"/>
      <c r="AZ220" s="57"/>
    </row>
    <row r="221" spans="2:52">
      <c r="B221" s="57"/>
      <c r="G221" s="46"/>
      <c r="L221" s="57"/>
      <c r="Q221" s="46"/>
      <c r="V221" s="57"/>
      <c r="AA221" s="46"/>
      <c r="AF221" s="57"/>
      <c r="AK221" s="46"/>
      <c r="AP221" s="57"/>
      <c r="AU221" s="46"/>
      <c r="AZ221" s="57"/>
    </row>
    <row r="222" spans="2:52">
      <c r="B222" s="57"/>
      <c r="G222" s="46"/>
      <c r="L222" s="57"/>
      <c r="Q222" s="46"/>
      <c r="V222" s="57"/>
      <c r="AA222" s="46"/>
      <c r="AF222" s="57"/>
      <c r="AK222" s="46"/>
      <c r="AP222" s="57"/>
      <c r="AU222" s="46"/>
      <c r="AZ222" s="57"/>
    </row>
    <row r="223" spans="2:52">
      <c r="B223" s="57"/>
      <c r="G223" s="46"/>
      <c r="L223" s="57"/>
      <c r="Q223" s="46"/>
      <c r="V223" s="57"/>
      <c r="AA223" s="46"/>
      <c r="AF223" s="57"/>
      <c r="AK223" s="46"/>
      <c r="AP223" s="57"/>
      <c r="AU223" s="46"/>
      <c r="AZ223" s="57"/>
    </row>
    <row r="224" spans="2:52">
      <c r="B224" s="57"/>
      <c r="G224" s="46"/>
      <c r="L224" s="57"/>
      <c r="Q224" s="46"/>
      <c r="V224" s="57"/>
      <c r="AA224" s="46"/>
      <c r="AF224" s="57"/>
      <c r="AK224" s="46"/>
      <c r="AP224" s="57"/>
      <c r="AU224" s="46"/>
      <c r="AZ224" s="57"/>
    </row>
    <row r="225" spans="2:52">
      <c r="B225" s="57"/>
      <c r="G225" s="46"/>
      <c r="L225" s="57"/>
      <c r="Q225" s="46"/>
      <c r="V225" s="57"/>
      <c r="AA225" s="46"/>
      <c r="AF225" s="57"/>
      <c r="AK225" s="46"/>
      <c r="AP225" s="57"/>
      <c r="AU225" s="46"/>
      <c r="AZ225" s="57"/>
    </row>
    <row r="226" spans="2:52">
      <c r="B226" s="57"/>
      <c r="G226" s="46"/>
      <c r="L226" s="57"/>
      <c r="Q226" s="46"/>
      <c r="V226" s="57"/>
      <c r="AA226" s="46"/>
      <c r="AF226" s="57"/>
      <c r="AK226" s="46"/>
      <c r="AP226" s="57"/>
      <c r="AU226" s="46"/>
      <c r="AZ226" s="57"/>
    </row>
    <row r="227" spans="2:52">
      <c r="B227" s="57"/>
      <c r="G227" s="46"/>
      <c r="L227" s="57"/>
      <c r="Q227" s="46"/>
      <c r="V227" s="57"/>
      <c r="AA227" s="46"/>
      <c r="AF227" s="57"/>
      <c r="AK227" s="46"/>
      <c r="AP227" s="57"/>
      <c r="AU227" s="46"/>
      <c r="AZ227" s="57"/>
    </row>
    <row r="228" spans="2:52">
      <c r="B228" s="57"/>
      <c r="G228" s="46"/>
      <c r="L228" s="57"/>
      <c r="Q228" s="46"/>
      <c r="V228" s="57"/>
      <c r="AA228" s="46"/>
      <c r="AF228" s="57"/>
      <c r="AK228" s="46"/>
      <c r="AP228" s="57"/>
      <c r="AU228" s="46"/>
      <c r="AZ228" s="57"/>
    </row>
    <row r="229" spans="2:52">
      <c r="B229" s="57"/>
      <c r="G229" s="46"/>
      <c r="L229" s="57"/>
      <c r="Q229" s="46"/>
      <c r="V229" s="57"/>
      <c r="AA229" s="46"/>
      <c r="AF229" s="57"/>
      <c r="AK229" s="46"/>
      <c r="AP229" s="57"/>
      <c r="AU229" s="46"/>
      <c r="AZ229" s="57"/>
    </row>
    <row r="230" spans="2:52">
      <c r="B230" s="57"/>
      <c r="G230" s="46"/>
      <c r="L230" s="57"/>
      <c r="Q230" s="46"/>
      <c r="V230" s="57"/>
      <c r="AA230" s="46"/>
      <c r="AF230" s="57"/>
      <c r="AK230" s="46"/>
      <c r="AP230" s="57"/>
      <c r="AU230" s="46"/>
      <c r="AZ230" s="57"/>
    </row>
    <row r="231" spans="2:52">
      <c r="B231" s="57"/>
      <c r="G231" s="46"/>
      <c r="L231" s="57"/>
      <c r="Q231" s="46"/>
      <c r="V231" s="57"/>
      <c r="AA231" s="46"/>
      <c r="AF231" s="57"/>
      <c r="AK231" s="46"/>
      <c r="AP231" s="57"/>
      <c r="AU231" s="46"/>
      <c r="AZ231" s="57"/>
    </row>
    <row r="232" spans="2:52">
      <c r="B232" s="57"/>
      <c r="G232" s="46"/>
      <c r="L232" s="57"/>
      <c r="Q232" s="46"/>
      <c r="V232" s="57"/>
      <c r="AA232" s="46"/>
      <c r="AF232" s="57"/>
      <c r="AK232" s="46"/>
      <c r="AP232" s="57"/>
      <c r="AU232" s="46"/>
      <c r="AZ232" s="57"/>
    </row>
    <row r="233" spans="2:52">
      <c r="B233" s="57"/>
      <c r="G233" s="46"/>
      <c r="L233" s="57"/>
      <c r="Q233" s="46"/>
      <c r="V233" s="57"/>
      <c r="AA233" s="46"/>
      <c r="AF233" s="57"/>
      <c r="AK233" s="46"/>
      <c r="AP233" s="57"/>
      <c r="AU233" s="46"/>
      <c r="AZ233" s="57"/>
    </row>
    <row r="234" spans="2:52">
      <c r="B234" s="57"/>
      <c r="G234" s="46"/>
      <c r="L234" s="57"/>
      <c r="Q234" s="46"/>
      <c r="V234" s="57"/>
      <c r="AA234" s="46"/>
      <c r="AF234" s="57"/>
      <c r="AK234" s="46"/>
      <c r="AP234" s="57"/>
      <c r="AU234" s="46"/>
      <c r="AZ234" s="57"/>
    </row>
    <row r="235" spans="2:52">
      <c r="B235" s="57"/>
      <c r="G235" s="46"/>
      <c r="L235" s="57"/>
      <c r="Q235" s="46"/>
      <c r="V235" s="57"/>
      <c r="AA235" s="46"/>
      <c r="AF235" s="57"/>
      <c r="AK235" s="46"/>
      <c r="AP235" s="57"/>
      <c r="AU235" s="46"/>
      <c r="AZ235" s="57"/>
    </row>
    <row r="236" spans="2:52">
      <c r="B236" s="57"/>
      <c r="G236" s="46"/>
      <c r="L236" s="57"/>
      <c r="Q236" s="46"/>
      <c r="V236" s="57"/>
      <c r="AA236" s="46"/>
      <c r="AF236" s="57"/>
      <c r="AK236" s="46"/>
      <c r="AP236" s="57"/>
      <c r="AU236" s="46"/>
      <c r="AZ236" s="57"/>
    </row>
    <row r="237" spans="2:52">
      <c r="B237" s="57"/>
      <c r="G237" s="46"/>
      <c r="L237" s="57"/>
      <c r="Q237" s="46"/>
      <c r="V237" s="57"/>
      <c r="AA237" s="46"/>
      <c r="AF237" s="57"/>
      <c r="AK237" s="46"/>
      <c r="AP237" s="57"/>
      <c r="AU237" s="46"/>
      <c r="AZ237" s="57"/>
    </row>
    <row r="238" spans="2:52">
      <c r="B238" s="57"/>
      <c r="G238" s="46"/>
      <c r="L238" s="57"/>
      <c r="Q238" s="46"/>
      <c r="V238" s="57"/>
      <c r="AA238" s="46"/>
      <c r="AF238" s="57"/>
      <c r="AK238" s="46"/>
      <c r="AP238" s="57"/>
      <c r="AU238" s="46"/>
      <c r="AZ238" s="57"/>
    </row>
    <row r="239" spans="2:52">
      <c r="B239" s="57"/>
      <c r="G239" s="46"/>
      <c r="L239" s="57"/>
      <c r="Q239" s="46"/>
      <c r="V239" s="57"/>
      <c r="AA239" s="46"/>
      <c r="AF239" s="57"/>
      <c r="AK239" s="46"/>
      <c r="AP239" s="57"/>
      <c r="AU239" s="46"/>
      <c r="AZ239" s="57"/>
    </row>
    <row r="240" spans="2:52">
      <c r="B240" s="57"/>
      <c r="G240" s="46"/>
      <c r="L240" s="57"/>
      <c r="Q240" s="46"/>
      <c r="V240" s="57"/>
      <c r="AA240" s="46"/>
      <c r="AF240" s="57"/>
      <c r="AK240" s="46"/>
      <c r="AP240" s="57"/>
      <c r="AU240" s="46"/>
      <c r="AZ240" s="57"/>
    </row>
    <row r="241" spans="2:52">
      <c r="B241" s="57"/>
      <c r="G241" s="46"/>
      <c r="L241" s="57"/>
      <c r="Q241" s="46"/>
      <c r="V241" s="57"/>
      <c r="AA241" s="46"/>
      <c r="AF241" s="57"/>
      <c r="AK241" s="46"/>
      <c r="AP241" s="57"/>
      <c r="AU241" s="46"/>
      <c r="AZ241" s="57"/>
    </row>
    <row r="242" spans="2:52">
      <c r="B242" s="57"/>
      <c r="G242" s="46"/>
      <c r="L242" s="57"/>
      <c r="Q242" s="46"/>
      <c r="V242" s="57"/>
      <c r="AA242" s="46"/>
      <c r="AF242" s="57"/>
      <c r="AK242" s="46"/>
      <c r="AP242" s="57"/>
      <c r="AU242" s="46"/>
      <c r="AZ242" s="57"/>
    </row>
    <row r="243" spans="2:52">
      <c r="B243" s="57"/>
      <c r="G243" s="46"/>
      <c r="L243" s="57"/>
      <c r="Q243" s="46"/>
      <c r="V243" s="57"/>
      <c r="AA243" s="46"/>
      <c r="AF243" s="57"/>
      <c r="AK243" s="46"/>
      <c r="AP243" s="57"/>
      <c r="AU243" s="46"/>
      <c r="AZ243" s="57"/>
    </row>
    <row r="244" spans="2:52">
      <c r="B244" s="57"/>
      <c r="G244" s="46"/>
      <c r="L244" s="57"/>
      <c r="Q244" s="46"/>
      <c r="V244" s="57"/>
      <c r="AA244" s="46"/>
      <c r="AF244" s="57"/>
      <c r="AK244" s="46"/>
      <c r="AP244" s="57"/>
      <c r="AU244" s="46"/>
      <c r="AZ244" s="57"/>
    </row>
    <row r="245" spans="2:52">
      <c r="B245" s="57"/>
      <c r="G245" s="46"/>
      <c r="L245" s="57"/>
      <c r="Q245" s="46"/>
      <c r="V245" s="57"/>
      <c r="AA245" s="46"/>
      <c r="AF245" s="57"/>
      <c r="AK245" s="46"/>
      <c r="AP245" s="57"/>
      <c r="AU245" s="46"/>
      <c r="AZ245" s="57"/>
    </row>
    <row r="246" spans="2:52">
      <c r="B246" s="57"/>
      <c r="G246" s="46"/>
      <c r="L246" s="57"/>
      <c r="Q246" s="46"/>
      <c r="V246" s="57"/>
      <c r="AA246" s="46"/>
      <c r="AF246" s="57"/>
      <c r="AK246" s="46"/>
      <c r="AP246" s="57"/>
      <c r="AU246" s="46"/>
      <c r="AZ246" s="57"/>
    </row>
    <row r="247" spans="2:52">
      <c r="B247" s="57"/>
      <c r="G247" s="46"/>
      <c r="L247" s="57"/>
      <c r="Q247" s="46"/>
      <c r="V247" s="57"/>
      <c r="AA247" s="46"/>
      <c r="AF247" s="57"/>
      <c r="AK247" s="46"/>
      <c r="AP247" s="57"/>
      <c r="AU247" s="46"/>
      <c r="AZ247" s="57"/>
    </row>
    <row r="248" spans="2:52">
      <c r="B248" s="57"/>
      <c r="G248" s="46"/>
      <c r="L248" s="57"/>
      <c r="Q248" s="46"/>
      <c r="V248" s="57"/>
      <c r="AA248" s="46"/>
      <c r="AF248" s="57"/>
      <c r="AK248" s="46"/>
      <c r="AP248" s="57"/>
      <c r="AU248" s="46"/>
      <c r="AZ248" s="57"/>
    </row>
    <row r="249" spans="2:52">
      <c r="B249" s="57"/>
      <c r="G249" s="46"/>
      <c r="L249" s="57"/>
      <c r="Q249" s="46"/>
      <c r="V249" s="57"/>
      <c r="AA249" s="46"/>
      <c r="AF249" s="57"/>
      <c r="AK249" s="46"/>
      <c r="AP249" s="57"/>
      <c r="AU249" s="46"/>
      <c r="AZ249" s="57"/>
    </row>
    <row r="250" spans="2:52">
      <c r="B250" s="57"/>
      <c r="G250" s="46"/>
      <c r="L250" s="57"/>
      <c r="Q250" s="46"/>
      <c r="V250" s="57"/>
      <c r="AA250" s="46"/>
      <c r="AF250" s="57"/>
      <c r="AK250" s="46"/>
      <c r="AP250" s="57"/>
      <c r="AU250" s="46"/>
      <c r="AZ250" s="57"/>
    </row>
    <row r="251" spans="2:52">
      <c r="B251" s="57"/>
      <c r="G251" s="46"/>
      <c r="L251" s="57"/>
      <c r="Q251" s="46"/>
      <c r="V251" s="57"/>
      <c r="AA251" s="46"/>
      <c r="AF251" s="57"/>
      <c r="AK251" s="46"/>
      <c r="AP251" s="57"/>
      <c r="AU251" s="46"/>
      <c r="AZ251" s="57"/>
    </row>
    <row r="252" spans="2:52">
      <c r="B252" s="57"/>
      <c r="G252" s="46"/>
      <c r="L252" s="57"/>
      <c r="Q252" s="46"/>
      <c r="V252" s="57"/>
      <c r="AA252" s="46"/>
      <c r="AF252" s="57"/>
      <c r="AK252" s="46"/>
      <c r="AP252" s="57"/>
      <c r="AU252" s="46"/>
      <c r="AZ252" s="57"/>
    </row>
    <row r="253" spans="2:52">
      <c r="B253" s="57"/>
      <c r="G253" s="46"/>
      <c r="L253" s="57"/>
      <c r="Q253" s="46"/>
      <c r="V253" s="57"/>
      <c r="AA253" s="46"/>
      <c r="AF253" s="57"/>
      <c r="AK253" s="46"/>
      <c r="AP253" s="57"/>
      <c r="AU253" s="46"/>
      <c r="AZ253" s="57"/>
    </row>
    <row r="254" spans="2:52">
      <c r="B254" s="57"/>
      <c r="G254" s="46"/>
      <c r="L254" s="57"/>
      <c r="Q254" s="46"/>
      <c r="V254" s="57"/>
      <c r="AA254" s="46"/>
      <c r="AF254" s="57"/>
      <c r="AK254" s="46"/>
      <c r="AP254" s="57"/>
      <c r="AU254" s="46"/>
      <c r="AZ254" s="57"/>
    </row>
    <row r="255" spans="2:52">
      <c r="B255" s="57"/>
      <c r="G255" s="46"/>
      <c r="L255" s="57"/>
      <c r="Q255" s="46"/>
      <c r="V255" s="57"/>
      <c r="AA255" s="46"/>
      <c r="AF255" s="57"/>
      <c r="AK255" s="46"/>
      <c r="AP255" s="57"/>
      <c r="AU255" s="46"/>
      <c r="AZ255" s="57"/>
    </row>
    <row r="256" spans="2:52">
      <c r="B256" s="57"/>
      <c r="G256" s="46"/>
      <c r="L256" s="57"/>
      <c r="Q256" s="46"/>
      <c r="V256" s="57"/>
      <c r="AA256" s="46"/>
      <c r="AF256" s="57"/>
      <c r="AK256" s="46"/>
      <c r="AP256" s="57"/>
      <c r="AU256" s="46"/>
      <c r="AZ256" s="57"/>
    </row>
    <row r="257" spans="2:52">
      <c r="B257" s="57"/>
      <c r="G257" s="46"/>
      <c r="L257" s="57"/>
      <c r="Q257" s="46"/>
      <c r="V257" s="57"/>
      <c r="AA257" s="46"/>
      <c r="AF257" s="57"/>
      <c r="AK257" s="46"/>
      <c r="AP257" s="57"/>
      <c r="AU257" s="46"/>
      <c r="AZ257" s="57"/>
    </row>
    <row r="258" spans="2:52">
      <c r="B258" s="57"/>
      <c r="G258" s="46"/>
      <c r="L258" s="57"/>
      <c r="Q258" s="46"/>
      <c r="V258" s="57"/>
      <c r="AA258" s="46"/>
      <c r="AF258" s="57"/>
      <c r="AK258" s="46"/>
      <c r="AP258" s="57"/>
      <c r="AU258" s="46"/>
      <c r="AZ258" s="57"/>
    </row>
    <row r="259" spans="2:52">
      <c r="B259" s="57"/>
      <c r="G259" s="46"/>
      <c r="L259" s="57"/>
      <c r="Q259" s="46"/>
      <c r="V259" s="57"/>
      <c r="AA259" s="46"/>
      <c r="AF259" s="57"/>
      <c r="AK259" s="46"/>
      <c r="AP259" s="57"/>
      <c r="AU259" s="46"/>
      <c r="AZ259" s="57"/>
    </row>
    <row r="260" spans="2:52">
      <c r="B260" s="57"/>
      <c r="G260" s="46"/>
      <c r="L260" s="57"/>
      <c r="Q260" s="46"/>
      <c r="V260" s="57"/>
      <c r="AA260" s="46"/>
      <c r="AF260" s="57"/>
      <c r="AK260" s="46"/>
      <c r="AP260" s="57"/>
      <c r="AU260" s="46"/>
      <c r="AZ260" s="57"/>
    </row>
    <row r="261" spans="2:52">
      <c r="B261" s="57"/>
      <c r="G261" s="46"/>
      <c r="L261" s="57"/>
      <c r="Q261" s="46"/>
      <c r="V261" s="57"/>
      <c r="AA261" s="46"/>
      <c r="AF261" s="57"/>
      <c r="AK261" s="46"/>
      <c r="AP261" s="57"/>
      <c r="AU261" s="46"/>
      <c r="AZ261" s="57"/>
    </row>
    <row r="262" spans="2:52">
      <c r="B262" s="57"/>
      <c r="G262" s="46"/>
      <c r="L262" s="57"/>
      <c r="Q262" s="46"/>
      <c r="V262" s="57"/>
      <c r="AA262" s="46"/>
      <c r="AF262" s="57"/>
      <c r="AK262" s="46"/>
      <c r="AP262" s="57"/>
      <c r="AU262" s="46"/>
      <c r="AZ262" s="57"/>
    </row>
    <row r="263" spans="2:52">
      <c r="B263" s="57"/>
      <c r="G263" s="46"/>
      <c r="L263" s="57"/>
      <c r="Q263" s="46"/>
      <c r="V263" s="57"/>
      <c r="AA263" s="46"/>
      <c r="AF263" s="57"/>
      <c r="AK263" s="46"/>
      <c r="AP263" s="57"/>
      <c r="AU263" s="46"/>
      <c r="AZ263" s="57"/>
    </row>
    <row r="264" spans="2:52">
      <c r="B264" s="57"/>
      <c r="G264" s="46"/>
      <c r="L264" s="57"/>
      <c r="Q264" s="46"/>
      <c r="V264" s="57"/>
      <c r="AA264" s="46"/>
      <c r="AF264" s="57"/>
      <c r="AK264" s="46"/>
      <c r="AP264" s="57"/>
      <c r="AU264" s="46"/>
      <c r="AZ264" s="57"/>
    </row>
    <row r="265" spans="2:52">
      <c r="B265" s="57"/>
      <c r="G265" s="46"/>
      <c r="L265" s="57"/>
      <c r="Q265" s="46"/>
      <c r="V265" s="57"/>
      <c r="AA265" s="46"/>
      <c r="AF265" s="57"/>
      <c r="AK265" s="46"/>
      <c r="AP265" s="57"/>
      <c r="AU265" s="46"/>
      <c r="AZ265" s="57"/>
    </row>
    <row r="266" spans="2:52">
      <c r="B266" s="57"/>
      <c r="G266" s="46"/>
      <c r="L266" s="57"/>
      <c r="Q266" s="46"/>
      <c r="V266" s="57"/>
      <c r="AA266" s="46"/>
      <c r="AF266" s="57"/>
      <c r="AK266" s="46"/>
      <c r="AP266" s="57"/>
      <c r="AU266" s="46"/>
      <c r="AZ266" s="57"/>
    </row>
    <row r="267" spans="2:52">
      <c r="B267" s="57"/>
      <c r="G267" s="46"/>
      <c r="L267" s="57"/>
      <c r="Q267" s="46"/>
      <c r="V267" s="57"/>
      <c r="AA267" s="46"/>
      <c r="AF267" s="57"/>
      <c r="AK267" s="46"/>
      <c r="AP267" s="57"/>
      <c r="AU267" s="46"/>
      <c r="AZ267" s="57"/>
    </row>
    <row r="268" spans="2:52">
      <c r="B268" s="57"/>
      <c r="G268" s="46"/>
      <c r="L268" s="57"/>
      <c r="Q268" s="46"/>
      <c r="V268" s="57"/>
      <c r="AA268" s="46"/>
      <c r="AF268" s="57"/>
      <c r="AK268" s="46"/>
      <c r="AP268" s="57"/>
      <c r="AU268" s="46"/>
      <c r="AZ268" s="57"/>
    </row>
    <row r="269" spans="2:52">
      <c r="B269" s="57"/>
      <c r="G269" s="46"/>
      <c r="L269" s="57"/>
      <c r="Q269" s="46"/>
      <c r="V269" s="57"/>
      <c r="AA269" s="46"/>
      <c r="AF269" s="57"/>
      <c r="AK269" s="46"/>
      <c r="AP269" s="57"/>
      <c r="AU269" s="46"/>
      <c r="AZ269" s="57"/>
    </row>
    <row r="270" spans="2:52">
      <c r="B270" s="57"/>
      <c r="G270" s="46"/>
      <c r="L270" s="57"/>
      <c r="Q270" s="46"/>
      <c r="V270" s="57"/>
      <c r="AA270" s="46"/>
      <c r="AF270" s="57"/>
      <c r="AK270" s="46"/>
      <c r="AP270" s="57"/>
      <c r="AU270" s="46"/>
      <c r="AZ270" s="57"/>
    </row>
    <row r="271" spans="2:52">
      <c r="B271" s="57"/>
      <c r="G271" s="46"/>
      <c r="L271" s="57"/>
      <c r="Q271" s="46"/>
      <c r="V271" s="57"/>
      <c r="AA271" s="46"/>
      <c r="AF271" s="57"/>
      <c r="AK271" s="46"/>
      <c r="AP271" s="57"/>
      <c r="AU271" s="46"/>
      <c r="AZ271" s="57"/>
    </row>
    <row r="272" spans="2:52">
      <c r="B272" s="57"/>
      <c r="G272" s="46"/>
      <c r="L272" s="57"/>
      <c r="Q272" s="46"/>
      <c r="V272" s="57"/>
      <c r="AA272" s="46"/>
      <c r="AF272" s="57"/>
      <c r="AK272" s="46"/>
      <c r="AP272" s="57"/>
      <c r="AU272" s="46"/>
      <c r="AZ272" s="57"/>
    </row>
    <row r="273" spans="2:52">
      <c r="B273" s="57"/>
      <c r="G273" s="46"/>
      <c r="L273" s="57"/>
      <c r="Q273" s="46"/>
      <c r="V273" s="57"/>
      <c r="AA273" s="46"/>
      <c r="AF273" s="57"/>
      <c r="AK273" s="46"/>
      <c r="AP273" s="57"/>
      <c r="AU273" s="46"/>
      <c r="AZ273" s="57"/>
    </row>
    <row r="274" spans="2:52">
      <c r="B274" s="57"/>
      <c r="G274" s="46"/>
      <c r="L274" s="57"/>
      <c r="Q274" s="46"/>
      <c r="V274" s="57"/>
      <c r="AA274" s="46"/>
      <c r="AF274" s="57"/>
      <c r="AK274" s="46"/>
      <c r="AP274" s="57"/>
      <c r="AU274" s="46"/>
      <c r="AZ274" s="57"/>
    </row>
    <row r="275" spans="2:52">
      <c r="B275" s="57"/>
      <c r="G275" s="46"/>
      <c r="L275" s="57"/>
      <c r="Q275" s="46"/>
      <c r="V275" s="57"/>
      <c r="AA275" s="46"/>
      <c r="AF275" s="57"/>
      <c r="AK275" s="46"/>
      <c r="AP275" s="57"/>
      <c r="AU275" s="46"/>
      <c r="AZ275" s="57"/>
    </row>
    <row r="276" spans="2:52">
      <c r="B276" s="57"/>
      <c r="G276" s="46"/>
      <c r="L276" s="57"/>
      <c r="Q276" s="46"/>
      <c r="V276" s="57"/>
      <c r="AA276" s="46"/>
      <c r="AF276" s="57"/>
      <c r="AK276" s="46"/>
      <c r="AP276" s="57"/>
      <c r="AU276" s="46"/>
      <c r="AZ276" s="57"/>
    </row>
    <row r="277" spans="2:52">
      <c r="B277" s="57"/>
      <c r="G277" s="46"/>
      <c r="L277" s="57"/>
      <c r="Q277" s="46"/>
      <c r="V277" s="57"/>
      <c r="AA277" s="46"/>
      <c r="AF277" s="57"/>
      <c r="AK277" s="46"/>
      <c r="AP277" s="57"/>
      <c r="AU277" s="46"/>
      <c r="AZ277" s="57"/>
    </row>
    <row r="278" spans="2:52">
      <c r="B278" s="57"/>
      <c r="G278" s="46"/>
      <c r="L278" s="57"/>
      <c r="Q278" s="46"/>
      <c r="V278" s="57"/>
      <c r="AA278" s="46"/>
      <c r="AF278" s="57"/>
      <c r="AK278" s="46"/>
      <c r="AP278" s="57"/>
      <c r="AU278" s="46"/>
      <c r="AZ278" s="57"/>
    </row>
    <row r="279" spans="2:52">
      <c r="B279" s="57"/>
      <c r="G279" s="46"/>
      <c r="L279" s="57"/>
      <c r="Q279" s="46"/>
      <c r="V279" s="57"/>
      <c r="AA279" s="46"/>
      <c r="AF279" s="57"/>
      <c r="AK279" s="46"/>
      <c r="AP279" s="57"/>
      <c r="AU279" s="46"/>
      <c r="AZ279" s="57"/>
    </row>
    <row r="280" spans="2:52">
      <c r="B280" s="57"/>
      <c r="G280" s="46"/>
      <c r="L280" s="57"/>
      <c r="Q280" s="46"/>
      <c r="V280" s="57"/>
      <c r="AA280" s="46"/>
      <c r="AF280" s="57"/>
      <c r="AK280" s="46"/>
      <c r="AP280" s="57"/>
      <c r="AU280" s="46"/>
      <c r="AZ280" s="57"/>
    </row>
    <row r="281" spans="2:52">
      <c r="B281" s="57"/>
      <c r="G281" s="46"/>
      <c r="L281" s="57"/>
      <c r="Q281" s="46"/>
      <c r="V281" s="57"/>
      <c r="AA281" s="46"/>
      <c r="AF281" s="57"/>
      <c r="AK281" s="46"/>
      <c r="AP281" s="57"/>
      <c r="AU281" s="46"/>
      <c r="AZ281" s="57"/>
    </row>
    <row r="282" spans="2:52">
      <c r="B282" s="57"/>
      <c r="G282" s="46"/>
      <c r="L282" s="57"/>
      <c r="Q282" s="46"/>
      <c r="V282" s="57"/>
      <c r="AA282" s="46"/>
      <c r="AF282" s="57"/>
      <c r="AK282" s="46"/>
      <c r="AP282" s="57"/>
      <c r="AU282" s="46"/>
      <c r="AZ282" s="57"/>
    </row>
    <row r="283" spans="2:52">
      <c r="B283" s="57"/>
      <c r="G283" s="46"/>
      <c r="L283" s="57"/>
      <c r="Q283" s="46"/>
      <c r="V283" s="57"/>
      <c r="AA283" s="46"/>
      <c r="AF283" s="57"/>
      <c r="AK283" s="46"/>
      <c r="AP283" s="57"/>
      <c r="AU283" s="46"/>
      <c r="AZ283" s="57"/>
    </row>
    <row r="284" spans="2:52">
      <c r="B284" s="57"/>
      <c r="G284" s="46"/>
      <c r="L284" s="57"/>
      <c r="Q284" s="46"/>
      <c r="V284" s="57"/>
      <c r="AA284" s="46"/>
      <c r="AF284" s="57"/>
      <c r="AK284" s="46"/>
      <c r="AP284" s="57"/>
      <c r="AU284" s="46"/>
      <c r="AZ284" s="57"/>
    </row>
    <row r="285" spans="2:52">
      <c r="B285" s="57"/>
      <c r="G285" s="46"/>
      <c r="L285" s="57"/>
      <c r="Q285" s="46"/>
      <c r="V285" s="57"/>
      <c r="AA285" s="46"/>
      <c r="AF285" s="57"/>
      <c r="AK285" s="46"/>
      <c r="AP285" s="57"/>
      <c r="AU285" s="46"/>
      <c r="AZ285" s="57"/>
    </row>
    <row r="286" spans="2:52">
      <c r="B286" s="57"/>
      <c r="G286" s="46"/>
      <c r="L286" s="57"/>
      <c r="Q286" s="46"/>
      <c r="V286" s="57"/>
      <c r="AA286" s="46"/>
      <c r="AF286" s="57"/>
      <c r="AK286" s="46"/>
      <c r="AP286" s="57"/>
      <c r="AU286" s="46"/>
      <c r="AZ286" s="57"/>
    </row>
    <row r="287" spans="2:52">
      <c r="B287" s="57"/>
      <c r="G287" s="46"/>
      <c r="L287" s="57"/>
      <c r="Q287" s="46"/>
      <c r="V287" s="57"/>
      <c r="AA287" s="46"/>
      <c r="AF287" s="57"/>
      <c r="AK287" s="46"/>
      <c r="AP287" s="57"/>
      <c r="AU287" s="46"/>
      <c r="AZ287" s="57"/>
    </row>
    <row r="288" spans="2:52">
      <c r="B288" s="57"/>
      <c r="G288" s="46"/>
      <c r="L288" s="57"/>
      <c r="Q288" s="46"/>
      <c r="V288" s="57"/>
      <c r="AA288" s="46"/>
      <c r="AF288" s="57"/>
      <c r="AK288" s="46"/>
      <c r="AP288" s="57"/>
      <c r="AU288" s="46"/>
      <c r="AZ288" s="57"/>
    </row>
    <row r="289" spans="2:52">
      <c r="B289" s="57"/>
      <c r="G289" s="46"/>
      <c r="L289" s="57"/>
      <c r="Q289" s="46"/>
      <c r="V289" s="57"/>
      <c r="AA289" s="46"/>
      <c r="AF289" s="57"/>
      <c r="AK289" s="46"/>
      <c r="AP289" s="57"/>
      <c r="AU289" s="46"/>
      <c r="AZ289" s="57"/>
    </row>
    <row r="290" spans="2:52">
      <c r="B290" s="57"/>
      <c r="G290" s="46"/>
      <c r="L290" s="57"/>
      <c r="Q290" s="46"/>
      <c r="V290" s="57"/>
      <c r="AA290" s="46"/>
      <c r="AF290" s="57"/>
      <c r="AK290" s="46"/>
      <c r="AP290" s="57"/>
      <c r="AU290" s="46"/>
      <c r="AZ290" s="57"/>
    </row>
    <row r="291" spans="2:52">
      <c r="B291" s="57"/>
      <c r="G291" s="46"/>
      <c r="L291" s="57"/>
      <c r="Q291" s="46"/>
      <c r="V291" s="57"/>
      <c r="AA291" s="46"/>
      <c r="AF291" s="57"/>
      <c r="AK291" s="46"/>
      <c r="AP291" s="57"/>
      <c r="AU291" s="46"/>
      <c r="AZ291" s="57"/>
    </row>
    <row r="292" spans="2:52">
      <c r="B292" s="57"/>
      <c r="G292" s="46"/>
      <c r="L292" s="57"/>
      <c r="Q292" s="46"/>
      <c r="V292" s="57"/>
      <c r="AA292" s="46"/>
      <c r="AF292" s="57"/>
      <c r="AK292" s="46"/>
      <c r="AP292" s="57"/>
      <c r="AU292" s="46"/>
      <c r="AZ292" s="57"/>
    </row>
    <row r="293" spans="2:52">
      <c r="B293" s="57"/>
      <c r="G293" s="46"/>
      <c r="L293" s="57"/>
      <c r="Q293" s="46"/>
      <c r="V293" s="57"/>
      <c r="AA293" s="46"/>
      <c r="AF293" s="57"/>
      <c r="AK293" s="46"/>
      <c r="AP293" s="57"/>
      <c r="AU293" s="46"/>
      <c r="AZ293" s="57"/>
    </row>
    <row r="294" spans="2:52">
      <c r="B294" s="57"/>
      <c r="G294" s="46"/>
      <c r="L294" s="57"/>
      <c r="Q294" s="46"/>
      <c r="V294" s="57"/>
      <c r="AA294" s="46"/>
      <c r="AF294" s="57"/>
      <c r="AK294" s="46"/>
      <c r="AP294" s="57"/>
      <c r="AU294" s="46"/>
      <c r="AZ294" s="57"/>
    </row>
    <row r="295" spans="2:52">
      <c r="B295" s="57"/>
      <c r="G295" s="46"/>
      <c r="L295" s="57"/>
      <c r="Q295" s="46"/>
      <c r="V295" s="57"/>
      <c r="AA295" s="46"/>
      <c r="AF295" s="57"/>
      <c r="AK295" s="46"/>
      <c r="AP295" s="57"/>
      <c r="AU295" s="46"/>
      <c r="AZ295" s="57"/>
    </row>
    <row r="296" spans="2:52">
      <c r="B296" s="57"/>
      <c r="G296" s="46"/>
      <c r="L296" s="57"/>
      <c r="Q296" s="46"/>
      <c r="V296" s="57"/>
      <c r="AA296" s="46"/>
      <c r="AF296" s="57"/>
      <c r="AK296" s="46"/>
      <c r="AP296" s="57"/>
      <c r="AU296" s="46"/>
      <c r="AZ296" s="57"/>
    </row>
    <row r="297" spans="2:52">
      <c r="B297" s="57"/>
      <c r="G297" s="46"/>
      <c r="L297" s="57"/>
      <c r="Q297" s="46"/>
      <c r="V297" s="57"/>
      <c r="AA297" s="46"/>
      <c r="AF297" s="57"/>
      <c r="AK297" s="46"/>
      <c r="AP297" s="57"/>
      <c r="AU297" s="46"/>
      <c r="AZ297" s="57"/>
    </row>
    <row r="298" spans="2:52">
      <c r="B298" s="57"/>
      <c r="G298" s="46"/>
      <c r="L298" s="57"/>
      <c r="Q298" s="46"/>
      <c r="V298" s="57"/>
      <c r="AA298" s="46"/>
      <c r="AF298" s="57"/>
      <c r="AK298" s="46"/>
      <c r="AP298" s="57"/>
      <c r="AU298" s="46"/>
      <c r="AZ298" s="57"/>
    </row>
    <row r="299" spans="2:52">
      <c r="B299" s="57"/>
      <c r="G299" s="46"/>
      <c r="L299" s="57"/>
      <c r="Q299" s="46"/>
      <c r="V299" s="57"/>
      <c r="AA299" s="46"/>
      <c r="AF299" s="57"/>
      <c r="AK299" s="46"/>
      <c r="AP299" s="57"/>
      <c r="AU299" s="46"/>
      <c r="AZ299" s="57"/>
    </row>
    <row r="300" spans="2:52">
      <c r="B300" s="57"/>
      <c r="G300" s="46"/>
      <c r="L300" s="57"/>
      <c r="Q300" s="46"/>
      <c r="V300" s="57"/>
      <c r="AA300" s="46"/>
      <c r="AF300" s="57"/>
      <c r="AK300" s="46"/>
      <c r="AP300" s="57"/>
      <c r="AU300" s="46"/>
      <c r="AZ300" s="57"/>
    </row>
    <row r="301" spans="2:52">
      <c r="B301" s="57"/>
      <c r="G301" s="46"/>
      <c r="L301" s="57"/>
      <c r="Q301" s="46"/>
      <c r="V301" s="57"/>
      <c r="AA301" s="46"/>
      <c r="AF301" s="57"/>
      <c r="AK301" s="46"/>
      <c r="AP301" s="57"/>
      <c r="AU301" s="46"/>
      <c r="AZ301" s="57"/>
    </row>
    <row r="302" spans="2:52">
      <c r="B302" s="57"/>
      <c r="G302" s="46"/>
      <c r="L302" s="57"/>
      <c r="Q302" s="46"/>
      <c r="V302" s="57"/>
      <c r="AA302" s="46"/>
      <c r="AF302" s="57"/>
      <c r="AK302" s="46"/>
      <c r="AP302" s="57"/>
      <c r="AU302" s="46"/>
      <c r="AZ302" s="57"/>
    </row>
    <row r="303" spans="2:52">
      <c r="B303" s="57"/>
      <c r="G303" s="46"/>
      <c r="L303" s="57"/>
      <c r="Q303" s="46"/>
      <c r="V303" s="57"/>
      <c r="AA303" s="46"/>
      <c r="AF303" s="57"/>
      <c r="AK303" s="46"/>
      <c r="AP303" s="57"/>
      <c r="AU303" s="46"/>
      <c r="AZ303" s="57"/>
    </row>
    <row r="304" spans="2:52">
      <c r="B304" s="57"/>
      <c r="G304" s="46"/>
      <c r="L304" s="57"/>
      <c r="Q304" s="46"/>
      <c r="V304" s="57"/>
      <c r="AA304" s="46"/>
      <c r="AF304" s="57"/>
      <c r="AK304" s="46"/>
      <c r="AP304" s="57"/>
      <c r="AU304" s="46"/>
      <c r="AZ304" s="57"/>
    </row>
    <row r="305" spans="2:52">
      <c r="B305" s="57"/>
      <c r="G305" s="46"/>
      <c r="L305" s="57"/>
      <c r="Q305" s="46"/>
      <c r="V305" s="57"/>
      <c r="AA305" s="46"/>
      <c r="AF305" s="57"/>
      <c r="AK305" s="46"/>
      <c r="AP305" s="57"/>
      <c r="AU305" s="46"/>
      <c r="AZ305" s="57"/>
    </row>
    <row r="306" spans="2:52">
      <c r="B306" s="57"/>
      <c r="G306" s="46"/>
      <c r="L306" s="57"/>
      <c r="Q306" s="46"/>
      <c r="V306" s="57"/>
      <c r="AA306" s="46"/>
      <c r="AF306" s="57"/>
      <c r="AK306" s="46"/>
      <c r="AP306" s="57"/>
      <c r="AU306" s="46"/>
      <c r="AZ306" s="57"/>
    </row>
    <row r="307" spans="2:52">
      <c r="B307" s="57"/>
      <c r="G307" s="46"/>
      <c r="L307" s="57"/>
      <c r="Q307" s="46"/>
      <c r="V307" s="57"/>
      <c r="AA307" s="46"/>
      <c r="AF307" s="57"/>
      <c r="AK307" s="46"/>
      <c r="AP307" s="57"/>
      <c r="AU307" s="46"/>
      <c r="AZ307" s="57"/>
    </row>
    <row r="308" spans="2:52">
      <c r="B308" s="57"/>
      <c r="G308" s="46"/>
      <c r="L308" s="57"/>
      <c r="Q308" s="46"/>
      <c r="V308" s="57"/>
      <c r="AA308" s="46"/>
      <c r="AF308" s="57"/>
      <c r="AK308" s="46"/>
      <c r="AP308" s="57"/>
      <c r="AU308" s="46"/>
      <c r="AZ308" s="57"/>
    </row>
    <row r="309" spans="2:52">
      <c r="B309" s="57"/>
      <c r="G309" s="46"/>
      <c r="L309" s="57"/>
      <c r="Q309" s="46"/>
      <c r="V309" s="57"/>
      <c r="AA309" s="46"/>
      <c r="AF309" s="57"/>
      <c r="AK309" s="46"/>
      <c r="AP309" s="57"/>
      <c r="AU309" s="46"/>
      <c r="AZ309" s="57"/>
    </row>
    <row r="310" spans="2:52">
      <c r="B310" s="57"/>
      <c r="G310" s="46"/>
      <c r="L310" s="57"/>
      <c r="Q310" s="46"/>
      <c r="V310" s="57"/>
      <c r="AA310" s="46"/>
      <c r="AF310" s="57"/>
      <c r="AK310" s="46"/>
      <c r="AP310" s="57"/>
      <c r="AU310" s="46"/>
      <c r="AZ310" s="57"/>
    </row>
    <row r="311" spans="2:52">
      <c r="B311" s="57"/>
      <c r="G311" s="46"/>
      <c r="L311" s="57"/>
      <c r="Q311" s="46"/>
      <c r="V311" s="57"/>
      <c r="AA311" s="46"/>
      <c r="AF311" s="57"/>
      <c r="AK311" s="46"/>
      <c r="AP311" s="57"/>
      <c r="AU311" s="46"/>
      <c r="AZ311" s="57"/>
    </row>
    <row r="312" spans="2:52">
      <c r="B312" s="57"/>
      <c r="G312" s="46"/>
      <c r="L312" s="57"/>
      <c r="Q312" s="46"/>
      <c r="V312" s="57"/>
      <c r="AA312" s="46"/>
      <c r="AF312" s="57"/>
      <c r="AK312" s="46"/>
      <c r="AP312" s="57"/>
      <c r="AU312" s="46"/>
      <c r="AZ312" s="57"/>
    </row>
    <row r="313" spans="2:52">
      <c r="B313" s="57"/>
      <c r="G313" s="46"/>
      <c r="L313" s="57"/>
      <c r="Q313" s="46"/>
      <c r="V313" s="57"/>
      <c r="AA313" s="46"/>
      <c r="AF313" s="57"/>
      <c r="AK313" s="46"/>
      <c r="AP313" s="57"/>
      <c r="AU313" s="46"/>
      <c r="AZ313" s="57"/>
    </row>
    <row r="314" spans="2:52">
      <c r="B314" s="57"/>
      <c r="G314" s="46"/>
      <c r="L314" s="57"/>
      <c r="Q314" s="46"/>
      <c r="V314" s="57"/>
      <c r="AA314" s="46"/>
      <c r="AF314" s="57"/>
      <c r="AK314" s="46"/>
      <c r="AP314" s="57"/>
      <c r="AU314" s="46"/>
      <c r="AZ314" s="57"/>
    </row>
    <row r="315" spans="2:52">
      <c r="B315" s="57"/>
      <c r="G315" s="46"/>
      <c r="L315" s="57"/>
      <c r="Q315" s="46"/>
      <c r="V315" s="57"/>
      <c r="AA315" s="46"/>
      <c r="AF315" s="57"/>
      <c r="AK315" s="46"/>
      <c r="AP315" s="57"/>
      <c r="AU315" s="46"/>
      <c r="AZ315" s="57"/>
    </row>
    <row r="316" spans="2:52">
      <c r="B316" s="57"/>
      <c r="G316" s="46"/>
      <c r="L316" s="57"/>
      <c r="Q316" s="46"/>
      <c r="V316" s="57"/>
      <c r="AA316" s="46"/>
      <c r="AF316" s="57"/>
      <c r="AK316" s="46"/>
      <c r="AP316" s="57"/>
      <c r="AU316" s="46"/>
      <c r="AZ316" s="57"/>
    </row>
    <row r="317" spans="2:52">
      <c r="B317" s="57"/>
      <c r="G317" s="46"/>
      <c r="L317" s="57"/>
      <c r="Q317" s="46"/>
      <c r="V317" s="57"/>
      <c r="AA317" s="46"/>
      <c r="AF317" s="57"/>
      <c r="AK317" s="46"/>
      <c r="AP317" s="57"/>
      <c r="AU317" s="46"/>
      <c r="AZ317" s="57"/>
    </row>
    <row r="318" spans="2:52">
      <c r="B318" s="57"/>
      <c r="G318" s="46"/>
      <c r="L318" s="57"/>
      <c r="Q318" s="46"/>
      <c r="V318" s="57"/>
      <c r="AA318" s="46"/>
      <c r="AF318" s="57"/>
      <c r="AK318" s="46"/>
      <c r="AP318" s="57"/>
      <c r="AU318" s="46"/>
      <c r="AZ318" s="57"/>
    </row>
    <row r="319" spans="2:52">
      <c r="B319" s="57"/>
      <c r="G319" s="46"/>
      <c r="L319" s="57"/>
      <c r="Q319" s="46"/>
      <c r="V319" s="57"/>
      <c r="AA319" s="46"/>
      <c r="AF319" s="57"/>
      <c r="AK319" s="46"/>
      <c r="AP319" s="57"/>
      <c r="AU319" s="46"/>
      <c r="AZ319" s="57"/>
    </row>
    <row r="320" spans="2:52">
      <c r="B320" s="57"/>
      <c r="G320" s="46"/>
      <c r="L320" s="57"/>
      <c r="Q320" s="46"/>
      <c r="V320" s="57"/>
      <c r="AA320" s="46"/>
      <c r="AF320" s="57"/>
      <c r="AK320" s="46"/>
      <c r="AP320" s="57"/>
      <c r="AU320" s="46"/>
      <c r="AZ320" s="57"/>
    </row>
    <row r="321" spans="2:52">
      <c r="B321" s="57"/>
      <c r="G321" s="46"/>
      <c r="L321" s="57"/>
      <c r="Q321" s="46"/>
      <c r="V321" s="57"/>
      <c r="AA321" s="46"/>
      <c r="AF321" s="57"/>
      <c r="AK321" s="46"/>
      <c r="AP321" s="57"/>
      <c r="AU321" s="46"/>
      <c r="AZ321" s="57"/>
    </row>
    <row r="322" spans="2:52">
      <c r="B322" s="57"/>
      <c r="G322" s="46"/>
      <c r="L322" s="57"/>
      <c r="Q322" s="46"/>
      <c r="V322" s="57"/>
      <c r="AA322" s="46"/>
      <c r="AF322" s="57"/>
      <c r="AK322" s="46"/>
      <c r="AP322" s="57"/>
      <c r="AU322" s="46"/>
      <c r="AZ322" s="57"/>
    </row>
    <row r="323" spans="2:52">
      <c r="B323" s="57"/>
      <c r="G323" s="46"/>
      <c r="L323" s="57"/>
      <c r="Q323" s="46"/>
      <c r="V323" s="57"/>
      <c r="AA323" s="46"/>
      <c r="AF323" s="57"/>
      <c r="AK323" s="46"/>
      <c r="AP323" s="57"/>
      <c r="AU323" s="46"/>
      <c r="AZ323" s="57"/>
    </row>
    <row r="324" spans="2:52">
      <c r="B324" s="57"/>
      <c r="G324" s="46"/>
      <c r="L324" s="57"/>
      <c r="Q324" s="46"/>
      <c r="V324" s="57"/>
      <c r="AA324" s="46"/>
      <c r="AF324" s="57"/>
      <c r="AK324" s="46"/>
      <c r="AP324" s="57"/>
      <c r="AU324" s="46"/>
      <c r="AZ324" s="57"/>
    </row>
    <row r="325" spans="2:52">
      <c r="B325" s="57"/>
      <c r="G325" s="46"/>
      <c r="L325" s="57"/>
      <c r="Q325" s="46"/>
      <c r="V325" s="57"/>
      <c r="AA325" s="46"/>
      <c r="AF325" s="57"/>
      <c r="AK325" s="46"/>
      <c r="AP325" s="57"/>
      <c r="AU325" s="46"/>
      <c r="AZ325" s="57"/>
    </row>
    <row r="326" spans="2:52">
      <c r="B326" s="57"/>
      <c r="G326" s="46"/>
      <c r="L326" s="57"/>
      <c r="Q326" s="46"/>
      <c r="V326" s="57"/>
      <c r="AA326" s="46"/>
      <c r="AF326" s="57"/>
      <c r="AK326" s="46"/>
      <c r="AP326" s="57"/>
      <c r="AU326" s="46"/>
      <c r="AZ326" s="57"/>
    </row>
    <row r="327" spans="2:52">
      <c r="B327" s="57"/>
      <c r="G327" s="46"/>
      <c r="L327" s="57"/>
      <c r="Q327" s="46"/>
      <c r="V327" s="57"/>
      <c r="AA327" s="46"/>
      <c r="AF327" s="57"/>
      <c r="AK327" s="46"/>
      <c r="AP327" s="57"/>
      <c r="AU327" s="46"/>
      <c r="AZ327" s="57"/>
    </row>
    <row r="328" spans="2:52">
      <c r="B328" s="57"/>
      <c r="G328" s="46"/>
      <c r="L328" s="57"/>
      <c r="Q328" s="46"/>
      <c r="V328" s="57"/>
      <c r="AA328" s="46"/>
      <c r="AF328" s="57"/>
      <c r="AK328" s="46"/>
      <c r="AP328" s="57"/>
      <c r="AU328" s="46"/>
      <c r="AZ328" s="57"/>
    </row>
    <row r="329" spans="2:52">
      <c r="B329" s="57"/>
      <c r="G329" s="46"/>
      <c r="L329" s="57"/>
      <c r="Q329" s="46"/>
      <c r="V329" s="57"/>
      <c r="AA329" s="46"/>
      <c r="AF329" s="57"/>
      <c r="AK329" s="46"/>
      <c r="AP329" s="57"/>
      <c r="AU329" s="46"/>
      <c r="AZ329" s="57"/>
    </row>
    <row r="330" spans="2:52">
      <c r="B330" s="57"/>
      <c r="G330" s="46"/>
      <c r="L330" s="57"/>
      <c r="Q330" s="46"/>
      <c r="V330" s="57"/>
      <c r="AA330" s="46"/>
      <c r="AF330" s="57"/>
      <c r="AK330" s="46"/>
      <c r="AP330" s="57"/>
      <c r="AU330" s="46"/>
      <c r="AZ330" s="57"/>
    </row>
    <row r="331" spans="2:52">
      <c r="B331" s="57"/>
      <c r="G331" s="46"/>
      <c r="L331" s="57"/>
      <c r="Q331" s="46"/>
      <c r="V331" s="57"/>
      <c r="AA331" s="46"/>
      <c r="AF331" s="57"/>
      <c r="AK331" s="46"/>
      <c r="AP331" s="57"/>
      <c r="AU331" s="46"/>
      <c r="AZ331" s="57"/>
    </row>
    <row r="332" spans="2:52">
      <c r="B332" s="57"/>
      <c r="G332" s="46"/>
      <c r="L332" s="57"/>
      <c r="Q332" s="46"/>
      <c r="V332" s="57"/>
      <c r="AA332" s="46"/>
      <c r="AF332" s="57"/>
      <c r="AK332" s="46"/>
      <c r="AP332" s="57"/>
      <c r="AU332" s="46"/>
      <c r="AZ332" s="57"/>
    </row>
    <row r="333" spans="2:52">
      <c r="B333" s="57"/>
      <c r="G333" s="46"/>
      <c r="L333" s="57"/>
      <c r="Q333" s="46"/>
      <c r="V333" s="57"/>
      <c r="AA333" s="46"/>
      <c r="AF333" s="57"/>
      <c r="AK333" s="46"/>
      <c r="AP333" s="57"/>
      <c r="AU333" s="46"/>
      <c r="AZ333" s="57"/>
    </row>
    <row r="334" spans="2:52">
      <c r="B334" s="57"/>
      <c r="G334" s="46"/>
      <c r="L334" s="57"/>
      <c r="Q334" s="46"/>
      <c r="V334" s="57"/>
      <c r="AA334" s="46"/>
      <c r="AF334" s="57"/>
      <c r="AK334" s="46"/>
      <c r="AP334" s="57"/>
      <c r="AU334" s="46"/>
      <c r="AZ334" s="57"/>
    </row>
    <row r="335" spans="2:52">
      <c r="B335" s="57"/>
      <c r="G335" s="46"/>
      <c r="L335" s="57"/>
      <c r="Q335" s="46"/>
      <c r="V335" s="57"/>
      <c r="AA335" s="46"/>
      <c r="AF335" s="57"/>
      <c r="AK335" s="46"/>
      <c r="AP335" s="57"/>
      <c r="AU335" s="46"/>
      <c r="AZ335" s="57"/>
    </row>
    <row r="336" spans="2:52">
      <c r="B336" s="57"/>
      <c r="G336" s="46"/>
      <c r="L336" s="57"/>
      <c r="Q336" s="46"/>
      <c r="V336" s="57"/>
      <c r="AA336" s="46"/>
      <c r="AF336" s="57"/>
      <c r="AK336" s="46"/>
      <c r="AP336" s="57"/>
      <c r="AU336" s="46"/>
      <c r="AZ336" s="57"/>
    </row>
    <row r="337" spans="2:52">
      <c r="B337" s="57"/>
      <c r="G337" s="46"/>
      <c r="L337" s="57"/>
      <c r="Q337" s="46"/>
      <c r="V337" s="57"/>
      <c r="AA337" s="46"/>
      <c r="AF337" s="57"/>
      <c r="AK337" s="46"/>
      <c r="AP337" s="57"/>
      <c r="AU337" s="46"/>
      <c r="AZ337" s="57"/>
    </row>
    <row r="338" spans="2:52">
      <c r="B338" s="57"/>
      <c r="G338" s="46"/>
      <c r="L338" s="57"/>
      <c r="Q338" s="46"/>
      <c r="V338" s="57"/>
      <c r="AA338" s="46"/>
      <c r="AF338" s="57"/>
      <c r="AK338" s="46"/>
      <c r="AP338" s="57"/>
      <c r="AU338" s="46"/>
      <c r="AZ338" s="57"/>
    </row>
    <row r="339" spans="2:52">
      <c r="B339" s="57"/>
      <c r="G339" s="46"/>
      <c r="L339" s="57"/>
      <c r="Q339" s="46"/>
      <c r="V339" s="57"/>
      <c r="AA339" s="46"/>
      <c r="AF339" s="57"/>
      <c r="AK339" s="46"/>
      <c r="AP339" s="57"/>
      <c r="AU339" s="46"/>
      <c r="AZ339" s="57"/>
    </row>
    <row r="340" spans="2:52">
      <c r="B340" s="57"/>
      <c r="G340" s="46"/>
      <c r="L340" s="57"/>
      <c r="Q340" s="46"/>
      <c r="V340" s="57"/>
      <c r="AA340" s="46"/>
      <c r="AF340" s="57"/>
      <c r="AK340" s="46"/>
      <c r="AP340" s="57"/>
      <c r="AU340" s="46"/>
      <c r="AZ340" s="57"/>
    </row>
    <row r="341" spans="2:52">
      <c r="B341" s="57"/>
      <c r="G341" s="46"/>
      <c r="L341" s="57"/>
      <c r="Q341" s="46"/>
      <c r="V341" s="57"/>
      <c r="AA341" s="46"/>
      <c r="AF341" s="57"/>
      <c r="AK341" s="46"/>
      <c r="AP341" s="57"/>
      <c r="AU341" s="46"/>
      <c r="AZ341" s="57"/>
    </row>
    <row r="342" spans="2:52">
      <c r="B342" s="57"/>
      <c r="G342" s="46"/>
      <c r="L342" s="57"/>
      <c r="Q342" s="46"/>
      <c r="V342" s="57"/>
      <c r="AA342" s="46"/>
      <c r="AF342" s="57"/>
      <c r="AK342" s="46"/>
      <c r="AP342" s="57"/>
      <c r="AU342" s="46"/>
      <c r="AZ342" s="57"/>
    </row>
    <row r="343" spans="2:52">
      <c r="B343" s="57"/>
      <c r="G343" s="46"/>
      <c r="L343" s="57"/>
      <c r="Q343" s="46"/>
      <c r="V343" s="57"/>
      <c r="AA343" s="46"/>
      <c r="AF343" s="57"/>
      <c r="AK343" s="46"/>
      <c r="AP343" s="57"/>
      <c r="AU343" s="46"/>
      <c r="AZ343" s="57"/>
    </row>
    <row r="344" spans="2:52">
      <c r="B344" s="57"/>
      <c r="G344" s="46"/>
      <c r="L344" s="57"/>
      <c r="Q344" s="46"/>
      <c r="V344" s="57"/>
      <c r="AA344" s="46"/>
      <c r="AF344" s="57"/>
      <c r="AK344" s="46"/>
      <c r="AP344" s="57"/>
      <c r="AU344" s="46"/>
      <c r="AZ344" s="57"/>
    </row>
    <row r="345" spans="2:52">
      <c r="B345" s="57"/>
      <c r="G345" s="46"/>
      <c r="L345" s="57"/>
      <c r="Q345" s="46"/>
      <c r="V345" s="57"/>
      <c r="AA345" s="46"/>
      <c r="AF345" s="57"/>
      <c r="AK345" s="46"/>
      <c r="AP345" s="57"/>
      <c r="AU345" s="46"/>
      <c r="AZ345" s="57"/>
    </row>
    <row r="346" spans="2:52">
      <c r="B346" s="57"/>
      <c r="G346" s="46"/>
      <c r="L346" s="57"/>
      <c r="Q346" s="46"/>
      <c r="V346" s="57"/>
      <c r="AA346" s="46"/>
      <c r="AF346" s="57"/>
      <c r="AK346" s="46"/>
      <c r="AP346" s="57"/>
      <c r="AU346" s="46"/>
      <c r="AZ346" s="57"/>
    </row>
    <row r="347" spans="2:52">
      <c r="B347" s="57"/>
      <c r="G347" s="46"/>
      <c r="L347" s="57"/>
      <c r="Q347" s="46"/>
      <c r="V347" s="57"/>
      <c r="AA347" s="46"/>
      <c r="AF347" s="57"/>
      <c r="AK347" s="46"/>
      <c r="AP347" s="57"/>
      <c r="AU347" s="46"/>
      <c r="AZ347" s="57"/>
    </row>
    <row r="348" spans="2:52">
      <c r="B348" s="57"/>
      <c r="G348" s="46"/>
      <c r="L348" s="57"/>
      <c r="Q348" s="46"/>
      <c r="V348" s="57"/>
      <c r="AA348" s="46"/>
      <c r="AF348" s="57"/>
      <c r="AK348" s="46"/>
      <c r="AP348" s="57"/>
      <c r="AU348" s="46"/>
      <c r="AZ348" s="57"/>
    </row>
    <row r="349" spans="2:52">
      <c r="B349" s="57"/>
      <c r="G349" s="46"/>
      <c r="L349" s="57"/>
      <c r="Q349" s="46"/>
      <c r="V349" s="57"/>
      <c r="AA349" s="46"/>
      <c r="AF349" s="57"/>
      <c r="AK349" s="46"/>
      <c r="AP349" s="57"/>
      <c r="AU349" s="46"/>
      <c r="AZ349" s="57"/>
    </row>
    <row r="350" spans="2:52">
      <c r="B350" s="57"/>
      <c r="G350" s="46"/>
      <c r="L350" s="57"/>
      <c r="Q350" s="46"/>
      <c r="V350" s="57"/>
      <c r="AA350" s="46"/>
      <c r="AF350" s="57"/>
      <c r="AK350" s="46"/>
      <c r="AP350" s="57"/>
      <c r="AU350" s="46"/>
      <c r="AZ350" s="57"/>
    </row>
    <row r="351" spans="2:52">
      <c r="B351" s="57"/>
      <c r="G351" s="46"/>
      <c r="L351" s="57"/>
      <c r="Q351" s="46"/>
      <c r="V351" s="57"/>
      <c r="AA351" s="46"/>
      <c r="AF351" s="57"/>
      <c r="AK351" s="46"/>
      <c r="AP351" s="57"/>
      <c r="AU351" s="46"/>
      <c r="AZ351" s="57"/>
    </row>
    <row r="352" spans="2:52">
      <c r="B352" s="57"/>
      <c r="G352" s="46"/>
      <c r="L352" s="57"/>
      <c r="Q352" s="46"/>
      <c r="V352" s="57"/>
      <c r="AA352" s="46"/>
      <c r="AF352" s="57"/>
      <c r="AK352" s="46"/>
      <c r="AP352" s="57"/>
      <c r="AU352" s="46"/>
      <c r="AZ352" s="57"/>
    </row>
    <row r="353" spans="2:52">
      <c r="B353" s="57"/>
      <c r="G353" s="46"/>
      <c r="L353" s="57"/>
      <c r="Q353" s="46"/>
      <c r="V353" s="57"/>
      <c r="AA353" s="46"/>
      <c r="AF353" s="57"/>
      <c r="AK353" s="46"/>
      <c r="AP353" s="57"/>
      <c r="AU353" s="46"/>
      <c r="AZ353" s="57"/>
    </row>
    <row r="354" spans="2:52">
      <c r="B354" s="57"/>
      <c r="G354" s="46"/>
      <c r="L354" s="57"/>
      <c r="Q354" s="46"/>
      <c r="V354" s="57"/>
      <c r="AA354" s="46"/>
      <c r="AF354" s="57"/>
      <c r="AK354" s="46"/>
      <c r="AP354" s="57"/>
      <c r="AU354" s="46"/>
      <c r="AZ354" s="57"/>
    </row>
    <row r="355" spans="2:52">
      <c r="B355" s="57"/>
      <c r="G355" s="46"/>
      <c r="L355" s="57"/>
      <c r="Q355" s="46"/>
      <c r="V355" s="57"/>
      <c r="AA355" s="46"/>
      <c r="AF355" s="57"/>
      <c r="AK355" s="46"/>
      <c r="AP355" s="57"/>
      <c r="AU355" s="46"/>
      <c r="AZ355" s="57"/>
    </row>
    <row r="356" spans="2:52">
      <c r="B356" s="57"/>
      <c r="G356" s="46"/>
      <c r="L356" s="57"/>
      <c r="Q356" s="46"/>
      <c r="V356" s="57"/>
      <c r="AA356" s="46"/>
      <c r="AF356" s="57"/>
      <c r="AK356" s="46"/>
      <c r="AP356" s="57"/>
      <c r="AU356" s="46"/>
      <c r="AZ356" s="57"/>
    </row>
    <row r="357" spans="2:52">
      <c r="B357" s="57"/>
      <c r="G357" s="46"/>
      <c r="L357" s="57"/>
      <c r="Q357" s="46"/>
      <c r="V357" s="57"/>
      <c r="AA357" s="46"/>
      <c r="AF357" s="57"/>
      <c r="AK357" s="46"/>
      <c r="AP357" s="57"/>
      <c r="AU357" s="46"/>
      <c r="AZ357" s="57"/>
    </row>
    <row r="358" spans="2:52">
      <c r="B358" s="57"/>
      <c r="G358" s="46"/>
      <c r="L358" s="57"/>
      <c r="Q358" s="46"/>
      <c r="V358" s="57"/>
      <c r="AA358" s="46"/>
      <c r="AF358" s="57"/>
      <c r="AK358" s="46"/>
      <c r="AP358" s="57"/>
      <c r="AU358" s="46"/>
      <c r="AZ358" s="57"/>
    </row>
    <row r="359" spans="2:52">
      <c r="B359" s="57"/>
      <c r="G359" s="46"/>
      <c r="L359" s="57"/>
      <c r="Q359" s="46"/>
      <c r="V359" s="57"/>
      <c r="AA359" s="46"/>
      <c r="AF359" s="57"/>
      <c r="AK359" s="46"/>
      <c r="AP359" s="57"/>
      <c r="AU359" s="46"/>
      <c r="AZ359" s="57"/>
    </row>
    <row r="360" spans="2:52">
      <c r="B360" s="57"/>
      <c r="G360" s="46"/>
      <c r="L360" s="57"/>
      <c r="Q360" s="46"/>
      <c r="V360" s="57"/>
      <c r="AA360" s="46"/>
      <c r="AF360" s="57"/>
      <c r="AK360" s="46"/>
      <c r="AP360" s="57"/>
      <c r="AU360" s="46"/>
      <c r="AZ360" s="57"/>
    </row>
    <row r="361" spans="2:52">
      <c r="B361" s="57"/>
      <c r="G361" s="46"/>
      <c r="L361" s="57"/>
      <c r="Q361" s="46"/>
      <c r="V361" s="57"/>
      <c r="AA361" s="46"/>
      <c r="AF361" s="57"/>
      <c r="AK361" s="46"/>
      <c r="AP361" s="57"/>
      <c r="AU361" s="46"/>
      <c r="AZ361" s="57"/>
    </row>
    <row r="362" spans="2:52">
      <c r="B362" s="57"/>
      <c r="G362" s="46"/>
      <c r="L362" s="57"/>
      <c r="Q362" s="46"/>
      <c r="V362" s="57"/>
      <c r="AA362" s="46"/>
      <c r="AF362" s="57"/>
      <c r="AK362" s="46"/>
      <c r="AP362" s="57"/>
      <c r="AU362" s="46"/>
      <c r="AZ362" s="57"/>
    </row>
    <row r="363" spans="2:52">
      <c r="B363" s="57"/>
      <c r="G363" s="46"/>
      <c r="L363" s="57"/>
      <c r="Q363" s="46"/>
      <c r="V363" s="57"/>
      <c r="AA363" s="46"/>
      <c r="AF363" s="57"/>
      <c r="AK363" s="46"/>
      <c r="AP363" s="57"/>
      <c r="AU363" s="46"/>
      <c r="AZ363" s="57"/>
    </row>
    <row r="364" spans="2:52">
      <c r="B364" s="57"/>
      <c r="G364" s="46"/>
      <c r="L364" s="57"/>
      <c r="Q364" s="46"/>
      <c r="V364" s="57"/>
      <c r="AA364" s="46"/>
      <c r="AF364" s="57"/>
      <c r="AK364" s="46"/>
      <c r="AP364" s="57"/>
      <c r="AU364" s="46"/>
      <c r="AZ364" s="57"/>
    </row>
    <row r="365" spans="2:52">
      <c r="B365" s="57"/>
      <c r="G365" s="46"/>
      <c r="L365" s="57"/>
      <c r="Q365" s="46"/>
      <c r="V365" s="57"/>
      <c r="AA365" s="46"/>
      <c r="AF365" s="57"/>
      <c r="AK365" s="46"/>
      <c r="AP365" s="57"/>
      <c r="AU365" s="46"/>
      <c r="AZ365" s="57"/>
    </row>
    <row r="366" spans="2:52">
      <c r="B366" s="57"/>
      <c r="G366" s="46"/>
      <c r="L366" s="57"/>
      <c r="Q366" s="46"/>
      <c r="V366" s="57"/>
      <c r="AA366" s="46"/>
      <c r="AF366" s="57"/>
      <c r="AK366" s="46"/>
      <c r="AP366" s="57"/>
      <c r="AU366" s="46"/>
      <c r="AZ366" s="57"/>
    </row>
    <row r="367" spans="2:52">
      <c r="B367" s="57"/>
      <c r="G367" s="46"/>
      <c r="L367" s="57"/>
      <c r="Q367" s="46"/>
      <c r="V367" s="57"/>
      <c r="AA367" s="46"/>
      <c r="AF367" s="57"/>
      <c r="AK367" s="46"/>
      <c r="AP367" s="57"/>
      <c r="AU367" s="46"/>
      <c r="AZ367" s="57"/>
    </row>
    <row r="368" spans="2:52">
      <c r="B368" s="57"/>
      <c r="G368" s="46"/>
      <c r="L368" s="57"/>
      <c r="Q368" s="46"/>
      <c r="V368" s="57"/>
      <c r="AA368" s="46"/>
      <c r="AF368" s="57"/>
      <c r="AK368" s="46"/>
      <c r="AP368" s="57"/>
      <c r="AU368" s="46"/>
      <c r="AZ368" s="57"/>
    </row>
    <row r="369" spans="2:52">
      <c r="B369" s="57"/>
      <c r="G369" s="46"/>
      <c r="L369" s="57"/>
      <c r="Q369" s="46"/>
      <c r="V369" s="57"/>
      <c r="AA369" s="46"/>
      <c r="AF369" s="57"/>
      <c r="AK369" s="46"/>
      <c r="AP369" s="57"/>
      <c r="AU369" s="46"/>
      <c r="AZ369" s="57"/>
    </row>
    <row r="370" spans="2:52">
      <c r="B370" s="57"/>
      <c r="G370" s="46"/>
      <c r="L370" s="57"/>
      <c r="Q370" s="46"/>
      <c r="V370" s="57"/>
      <c r="AA370" s="46"/>
      <c r="AF370" s="57"/>
      <c r="AK370" s="46"/>
      <c r="AP370" s="57"/>
      <c r="AU370" s="46"/>
      <c r="AZ370" s="57"/>
    </row>
    <row r="371" spans="2:52">
      <c r="B371" s="57"/>
      <c r="G371" s="46"/>
      <c r="L371" s="57"/>
      <c r="Q371" s="46"/>
      <c r="V371" s="57"/>
      <c r="AA371" s="46"/>
      <c r="AF371" s="57"/>
      <c r="AK371" s="46"/>
      <c r="AP371" s="57"/>
      <c r="AU371" s="46"/>
      <c r="AZ371" s="57"/>
    </row>
    <row r="372" spans="2:52">
      <c r="B372" s="57"/>
      <c r="G372" s="46"/>
      <c r="L372" s="57"/>
      <c r="Q372" s="46"/>
      <c r="V372" s="57"/>
      <c r="AA372" s="46"/>
      <c r="AF372" s="57"/>
      <c r="AK372" s="46"/>
      <c r="AP372" s="57"/>
      <c r="AU372" s="46"/>
      <c r="AZ372" s="57"/>
    </row>
    <row r="373" spans="2:52">
      <c r="B373" s="57"/>
      <c r="G373" s="46"/>
      <c r="L373" s="57"/>
      <c r="Q373" s="46"/>
      <c r="V373" s="57"/>
      <c r="AA373" s="46"/>
      <c r="AF373" s="57"/>
      <c r="AK373" s="46"/>
      <c r="AP373" s="57"/>
      <c r="AU373" s="46"/>
      <c r="AZ373" s="57"/>
    </row>
    <row r="374" spans="2:52">
      <c r="B374" s="57"/>
      <c r="G374" s="46"/>
      <c r="L374" s="57"/>
      <c r="Q374" s="46"/>
      <c r="V374" s="57"/>
      <c r="AA374" s="46"/>
      <c r="AF374" s="57"/>
      <c r="AK374" s="46"/>
      <c r="AP374" s="57"/>
      <c r="AU374" s="46"/>
      <c r="AZ374" s="57"/>
    </row>
    <row r="375" spans="2:52">
      <c r="B375" s="57"/>
      <c r="G375" s="46"/>
      <c r="L375" s="57"/>
      <c r="Q375" s="46"/>
      <c r="V375" s="57"/>
      <c r="AA375" s="46"/>
      <c r="AF375" s="57"/>
      <c r="AK375" s="46"/>
      <c r="AP375" s="57"/>
      <c r="AU375" s="46"/>
      <c r="AZ375" s="57"/>
    </row>
    <row r="376" spans="2:52">
      <c r="B376" s="57"/>
      <c r="G376" s="46"/>
      <c r="L376" s="57"/>
      <c r="Q376" s="46"/>
      <c r="V376" s="57"/>
      <c r="AA376" s="46"/>
      <c r="AF376" s="57"/>
      <c r="AK376" s="46"/>
      <c r="AP376" s="57"/>
      <c r="AU376" s="46"/>
      <c r="AZ376" s="57"/>
    </row>
    <row r="377" spans="2:52">
      <c r="B377" s="57"/>
      <c r="G377" s="46"/>
      <c r="L377" s="57"/>
      <c r="Q377" s="46"/>
      <c r="V377" s="57"/>
      <c r="AA377" s="46"/>
      <c r="AF377" s="57"/>
      <c r="AK377" s="46"/>
      <c r="AP377" s="57"/>
      <c r="AU377" s="46"/>
      <c r="AZ377" s="57"/>
    </row>
    <row r="378" spans="2:52">
      <c r="B378" s="57"/>
      <c r="G378" s="46"/>
      <c r="L378" s="57"/>
      <c r="Q378" s="46"/>
      <c r="V378" s="57"/>
      <c r="AA378" s="46"/>
      <c r="AF378" s="57"/>
      <c r="AK378" s="46"/>
      <c r="AP378" s="57"/>
      <c r="AU378" s="46"/>
      <c r="AZ378" s="57"/>
    </row>
    <row r="379" spans="2:52">
      <c r="B379" s="57"/>
      <c r="G379" s="46"/>
      <c r="L379" s="57"/>
      <c r="Q379" s="46"/>
      <c r="V379" s="57"/>
      <c r="AA379" s="46"/>
      <c r="AF379" s="57"/>
      <c r="AK379" s="46"/>
      <c r="AP379" s="57"/>
      <c r="AU379" s="46"/>
      <c r="AZ379" s="57"/>
    </row>
    <row r="380" spans="2:52">
      <c r="B380" s="57"/>
      <c r="G380" s="46"/>
      <c r="L380" s="57"/>
      <c r="Q380" s="46"/>
      <c r="V380" s="57"/>
      <c r="AA380" s="46"/>
      <c r="AF380" s="57"/>
      <c r="AK380" s="46"/>
      <c r="AP380" s="57"/>
      <c r="AU380" s="46"/>
      <c r="AZ380" s="57"/>
    </row>
    <row r="381" spans="2:52">
      <c r="B381" s="57"/>
      <c r="G381" s="46"/>
      <c r="L381" s="57"/>
      <c r="Q381" s="46"/>
      <c r="V381" s="57"/>
      <c r="AA381" s="46"/>
      <c r="AF381" s="57"/>
      <c r="AK381" s="46"/>
      <c r="AP381" s="57"/>
      <c r="AU381" s="46"/>
      <c r="AZ381" s="57"/>
    </row>
    <row r="382" spans="2:52">
      <c r="B382" s="57"/>
      <c r="G382" s="46"/>
      <c r="L382" s="57"/>
      <c r="Q382" s="46"/>
      <c r="V382" s="57"/>
      <c r="AA382" s="46"/>
      <c r="AF382" s="57"/>
      <c r="AK382" s="46"/>
      <c r="AP382" s="57"/>
      <c r="AU382" s="46"/>
      <c r="AZ382" s="57"/>
    </row>
    <row r="383" spans="2:52">
      <c r="B383" s="57"/>
      <c r="G383" s="46"/>
      <c r="L383" s="57"/>
      <c r="Q383" s="46"/>
      <c r="V383" s="57"/>
      <c r="AA383" s="46"/>
      <c r="AF383" s="57"/>
      <c r="AK383" s="46"/>
      <c r="AP383" s="57"/>
      <c r="AU383" s="46"/>
      <c r="AZ383" s="57"/>
    </row>
    <row r="384" spans="2:52">
      <c r="B384" s="57"/>
      <c r="G384" s="46"/>
      <c r="L384" s="57"/>
      <c r="Q384" s="46"/>
      <c r="V384" s="57"/>
      <c r="AA384" s="46"/>
      <c r="AF384" s="57"/>
      <c r="AK384" s="46"/>
      <c r="AP384" s="57"/>
      <c r="AU384" s="46"/>
      <c r="AZ384" s="57"/>
    </row>
    <row r="385" spans="2:52">
      <c r="B385" s="57"/>
      <c r="G385" s="46"/>
      <c r="L385" s="57"/>
      <c r="Q385" s="46"/>
      <c r="V385" s="57"/>
      <c r="AA385" s="46"/>
      <c r="AF385" s="57"/>
      <c r="AK385" s="46"/>
      <c r="AP385" s="57"/>
      <c r="AU385" s="46"/>
      <c r="AZ385" s="57"/>
    </row>
    <row r="386" spans="2:52">
      <c r="B386" s="57"/>
      <c r="G386" s="46"/>
      <c r="L386" s="57"/>
      <c r="Q386" s="46"/>
      <c r="V386" s="57"/>
      <c r="AA386" s="46"/>
      <c r="AF386" s="57"/>
      <c r="AK386" s="46"/>
      <c r="AP386" s="57"/>
      <c r="AU386" s="46"/>
      <c r="AZ386" s="57"/>
    </row>
    <row r="387" spans="2:52">
      <c r="B387" s="57"/>
      <c r="G387" s="46"/>
      <c r="L387" s="57"/>
      <c r="Q387" s="46"/>
      <c r="V387" s="57"/>
      <c r="AA387" s="46"/>
      <c r="AF387" s="57"/>
      <c r="AK387" s="46"/>
      <c r="AP387" s="57"/>
      <c r="AU387" s="46"/>
      <c r="AZ387" s="57"/>
    </row>
    <row r="388" spans="2:52">
      <c r="B388" s="57"/>
      <c r="G388" s="46"/>
      <c r="L388" s="57"/>
      <c r="Q388" s="46"/>
      <c r="V388" s="57"/>
      <c r="AA388" s="46"/>
      <c r="AF388" s="57"/>
      <c r="AK388" s="46"/>
      <c r="AP388" s="57"/>
      <c r="AU388" s="46"/>
      <c r="AZ388" s="57"/>
    </row>
    <row r="389" spans="2:52">
      <c r="B389" s="57"/>
      <c r="G389" s="46"/>
      <c r="L389" s="57"/>
      <c r="Q389" s="46"/>
      <c r="V389" s="57"/>
      <c r="AA389" s="46"/>
      <c r="AF389" s="57"/>
      <c r="AK389" s="46"/>
      <c r="AP389" s="57"/>
      <c r="AU389" s="46"/>
      <c r="AZ389" s="57"/>
    </row>
    <row r="390" spans="2:52">
      <c r="B390" s="57"/>
      <c r="G390" s="46"/>
      <c r="L390" s="57"/>
      <c r="Q390" s="46"/>
      <c r="V390" s="57"/>
      <c r="AA390" s="46"/>
      <c r="AF390" s="57"/>
      <c r="AK390" s="46"/>
      <c r="AP390" s="57"/>
      <c r="AU390" s="46"/>
      <c r="AZ390" s="57"/>
    </row>
    <row r="391" spans="2:52">
      <c r="B391" s="57"/>
      <c r="G391" s="46"/>
      <c r="L391" s="57"/>
      <c r="Q391" s="46"/>
      <c r="V391" s="57"/>
      <c r="AA391" s="46"/>
      <c r="AF391" s="57"/>
      <c r="AK391" s="46"/>
      <c r="AP391" s="57"/>
      <c r="AU391" s="46"/>
      <c r="AZ391" s="57"/>
    </row>
    <row r="392" spans="2:52">
      <c r="B392" s="57"/>
      <c r="G392" s="46"/>
      <c r="L392" s="57"/>
      <c r="Q392" s="46"/>
      <c r="V392" s="57"/>
      <c r="AA392" s="46"/>
      <c r="AF392" s="57"/>
      <c r="AK392" s="46"/>
      <c r="AP392" s="57"/>
      <c r="AU392" s="46"/>
      <c r="AZ392" s="57"/>
    </row>
    <row r="393" spans="2:52">
      <c r="B393" s="57"/>
      <c r="G393" s="46"/>
      <c r="L393" s="57"/>
      <c r="Q393" s="46"/>
      <c r="V393" s="57"/>
      <c r="AA393" s="46"/>
      <c r="AF393" s="57"/>
      <c r="AK393" s="46"/>
      <c r="AP393" s="57"/>
      <c r="AU393" s="46"/>
      <c r="AZ393" s="57"/>
    </row>
    <row r="394" spans="2:52">
      <c r="B394" s="57"/>
      <c r="G394" s="46"/>
      <c r="L394" s="57"/>
      <c r="Q394" s="46"/>
      <c r="V394" s="57"/>
      <c r="AA394" s="46"/>
      <c r="AF394" s="57"/>
      <c r="AK394" s="46"/>
      <c r="AP394" s="57"/>
      <c r="AU394" s="46"/>
      <c r="AZ394" s="57"/>
    </row>
    <row r="395" spans="2:52">
      <c r="B395" s="57"/>
      <c r="G395" s="46"/>
      <c r="L395" s="57"/>
      <c r="Q395" s="46"/>
      <c r="V395" s="57"/>
      <c r="AA395" s="46"/>
      <c r="AF395" s="57"/>
      <c r="AK395" s="46"/>
      <c r="AP395" s="57"/>
      <c r="AU395" s="46"/>
      <c r="AZ395" s="57"/>
    </row>
    <row r="396" spans="2:52">
      <c r="B396" s="57"/>
      <c r="G396" s="46"/>
      <c r="L396" s="57"/>
      <c r="Q396" s="46"/>
      <c r="V396" s="57"/>
      <c r="AA396" s="46"/>
      <c r="AF396" s="57"/>
      <c r="AK396" s="46"/>
      <c r="AP396" s="57"/>
      <c r="AU396" s="46"/>
      <c r="AZ396" s="57"/>
    </row>
    <row r="397" spans="2:52">
      <c r="B397" s="57"/>
      <c r="G397" s="46"/>
      <c r="L397" s="57"/>
      <c r="Q397" s="46"/>
      <c r="V397" s="57"/>
      <c r="AA397" s="46"/>
      <c r="AF397" s="57"/>
      <c r="AK397" s="46"/>
      <c r="AP397" s="57"/>
      <c r="AU397" s="46"/>
      <c r="AZ397" s="57"/>
    </row>
    <row r="398" spans="2:52">
      <c r="B398" s="57"/>
      <c r="G398" s="46"/>
      <c r="L398" s="57"/>
      <c r="Q398" s="46"/>
      <c r="V398" s="57"/>
      <c r="AA398" s="46"/>
      <c r="AF398" s="57"/>
      <c r="AK398" s="46"/>
      <c r="AP398" s="57"/>
      <c r="AU398" s="46"/>
      <c r="AZ398" s="57"/>
    </row>
    <row r="399" spans="2:52">
      <c r="B399" s="57"/>
      <c r="G399" s="46"/>
      <c r="L399" s="57"/>
      <c r="Q399" s="46"/>
      <c r="V399" s="57"/>
      <c r="AA399" s="46"/>
      <c r="AF399" s="57"/>
      <c r="AK399" s="46"/>
      <c r="AP399" s="57"/>
      <c r="AU399" s="46"/>
      <c r="AZ399" s="57"/>
    </row>
    <row r="400" spans="2:52">
      <c r="B400" s="57"/>
      <c r="G400" s="46"/>
      <c r="L400" s="57"/>
      <c r="Q400" s="46"/>
      <c r="V400" s="57"/>
      <c r="AA400" s="46"/>
      <c r="AF400" s="57"/>
      <c r="AK400" s="46"/>
      <c r="AP400" s="57"/>
      <c r="AU400" s="46"/>
      <c r="AZ400" s="57"/>
    </row>
    <row r="401" spans="2:52">
      <c r="B401" s="57"/>
      <c r="G401" s="46"/>
      <c r="L401" s="57"/>
      <c r="Q401" s="46"/>
      <c r="V401" s="57"/>
      <c r="AA401" s="46"/>
      <c r="AF401" s="57"/>
      <c r="AK401" s="46"/>
      <c r="AP401" s="57"/>
      <c r="AU401" s="46"/>
      <c r="AZ401" s="57"/>
    </row>
    <row r="402" spans="2:52">
      <c r="B402" s="57"/>
      <c r="G402" s="46"/>
      <c r="L402" s="57"/>
      <c r="Q402" s="46"/>
      <c r="V402" s="57"/>
      <c r="AA402" s="46"/>
      <c r="AF402" s="57"/>
      <c r="AK402" s="46"/>
      <c r="AP402" s="57"/>
      <c r="AU402" s="46"/>
      <c r="AZ402" s="57"/>
    </row>
    <row r="403" spans="2:52">
      <c r="B403" s="57"/>
      <c r="G403" s="46"/>
      <c r="L403" s="57"/>
      <c r="Q403" s="46"/>
      <c r="V403" s="57"/>
      <c r="AA403" s="46"/>
      <c r="AF403" s="57"/>
      <c r="AK403" s="46"/>
      <c r="AP403" s="57"/>
      <c r="AU403" s="46"/>
      <c r="AZ403" s="57"/>
    </row>
    <row r="404" spans="2:52">
      <c r="B404" s="57"/>
      <c r="G404" s="46"/>
      <c r="L404" s="57"/>
      <c r="Q404" s="46"/>
      <c r="V404" s="57"/>
      <c r="AA404" s="46"/>
      <c r="AF404" s="57"/>
      <c r="AK404" s="46"/>
      <c r="AP404" s="57"/>
      <c r="AU404" s="46"/>
      <c r="AZ404" s="57"/>
    </row>
    <row r="405" spans="2:52">
      <c r="B405" s="57"/>
      <c r="G405" s="46"/>
      <c r="L405" s="57"/>
      <c r="Q405" s="46"/>
      <c r="V405" s="57"/>
      <c r="AA405" s="46"/>
      <c r="AF405" s="57"/>
      <c r="AK405" s="46"/>
      <c r="AP405" s="57"/>
      <c r="AU405" s="46"/>
      <c r="AZ405" s="57"/>
    </row>
    <row r="406" spans="2:52">
      <c r="B406" s="57"/>
      <c r="G406" s="46"/>
      <c r="L406" s="57"/>
      <c r="Q406" s="46"/>
      <c r="V406" s="57"/>
      <c r="AA406" s="46"/>
      <c r="AF406" s="57"/>
      <c r="AK406" s="46"/>
      <c r="AP406" s="57"/>
      <c r="AU406" s="46"/>
      <c r="AZ406" s="57"/>
    </row>
    <row r="407" spans="2:52">
      <c r="B407" s="57"/>
      <c r="G407" s="46"/>
      <c r="L407" s="57"/>
      <c r="Q407" s="46"/>
      <c r="V407" s="57"/>
      <c r="AA407" s="46"/>
      <c r="AF407" s="57"/>
      <c r="AK407" s="46"/>
      <c r="AP407" s="57"/>
      <c r="AU407" s="46"/>
      <c r="AZ407" s="57"/>
    </row>
    <row r="408" spans="2:52">
      <c r="B408" s="57"/>
      <c r="G408" s="46"/>
      <c r="L408" s="57"/>
      <c r="Q408" s="46"/>
      <c r="V408" s="57"/>
      <c r="AA408" s="46"/>
      <c r="AF408" s="57"/>
      <c r="AK408" s="46"/>
      <c r="AP408" s="57"/>
      <c r="AU408" s="46"/>
      <c r="AZ408" s="57"/>
    </row>
    <row r="409" spans="2:52">
      <c r="B409" s="57"/>
      <c r="G409" s="46"/>
      <c r="L409" s="57"/>
      <c r="Q409" s="46"/>
      <c r="V409" s="57"/>
      <c r="AA409" s="46"/>
      <c r="AF409" s="57"/>
      <c r="AK409" s="46"/>
      <c r="AP409" s="57"/>
      <c r="AU409" s="46"/>
      <c r="AZ409" s="57"/>
    </row>
    <row r="410" spans="2:52">
      <c r="B410" s="57"/>
      <c r="G410" s="46"/>
      <c r="L410" s="57"/>
      <c r="Q410" s="46"/>
      <c r="V410" s="57"/>
      <c r="AA410" s="46"/>
      <c r="AF410" s="57"/>
      <c r="AK410" s="46"/>
      <c r="AP410" s="57"/>
      <c r="AU410" s="46"/>
      <c r="AZ410" s="57"/>
    </row>
    <row r="411" spans="2:52">
      <c r="B411" s="57"/>
      <c r="G411" s="46"/>
      <c r="L411" s="57"/>
      <c r="Q411" s="46"/>
      <c r="V411" s="57"/>
      <c r="AA411" s="46"/>
      <c r="AF411" s="57"/>
      <c r="AK411" s="46"/>
      <c r="AP411" s="57"/>
      <c r="AU411" s="46"/>
      <c r="AZ411" s="57"/>
    </row>
    <row r="412" spans="2:52">
      <c r="B412" s="57"/>
      <c r="G412" s="46"/>
      <c r="L412" s="57"/>
      <c r="Q412" s="46"/>
      <c r="V412" s="57"/>
      <c r="AA412" s="46"/>
      <c r="AF412" s="57"/>
      <c r="AK412" s="46"/>
      <c r="AP412" s="57"/>
      <c r="AU412" s="46"/>
      <c r="AZ412" s="57"/>
    </row>
    <row r="413" spans="2:52">
      <c r="B413" s="57"/>
      <c r="G413" s="46"/>
      <c r="L413" s="57"/>
      <c r="Q413" s="46"/>
      <c r="V413" s="57"/>
      <c r="AA413" s="46"/>
      <c r="AF413" s="57"/>
      <c r="AK413" s="46"/>
      <c r="AP413" s="57"/>
      <c r="AU413" s="46"/>
      <c r="AZ413" s="57"/>
    </row>
    <row r="414" spans="2:52">
      <c r="B414" s="57"/>
      <c r="G414" s="46"/>
      <c r="L414" s="57"/>
      <c r="Q414" s="46"/>
      <c r="V414" s="57"/>
      <c r="AA414" s="46"/>
      <c r="AF414" s="57"/>
      <c r="AK414" s="46"/>
      <c r="AP414" s="57"/>
      <c r="AU414" s="46"/>
      <c r="AZ414" s="57"/>
    </row>
    <row r="415" spans="2:52">
      <c r="B415" s="57"/>
      <c r="G415" s="46"/>
      <c r="L415" s="57"/>
      <c r="Q415" s="46"/>
      <c r="V415" s="57"/>
      <c r="AA415" s="46"/>
      <c r="AF415" s="57"/>
      <c r="AK415" s="46"/>
      <c r="AP415" s="57"/>
      <c r="AU415" s="46"/>
      <c r="AZ415" s="57"/>
    </row>
    <row r="416" spans="2:52">
      <c r="B416" s="57"/>
      <c r="G416" s="46"/>
      <c r="L416" s="57"/>
      <c r="Q416" s="46"/>
      <c r="V416" s="57"/>
      <c r="AA416" s="46"/>
      <c r="AF416" s="57"/>
      <c r="AK416" s="46"/>
      <c r="AP416" s="57"/>
      <c r="AU416" s="46"/>
      <c r="AZ416" s="57"/>
    </row>
    <row r="417" spans="2:52">
      <c r="B417" s="57"/>
      <c r="G417" s="46"/>
      <c r="L417" s="57"/>
      <c r="Q417" s="46"/>
      <c r="V417" s="57"/>
      <c r="AA417" s="46"/>
      <c r="AF417" s="57"/>
      <c r="AK417" s="46"/>
      <c r="AP417" s="57"/>
      <c r="AU417" s="46"/>
      <c r="AZ417" s="57"/>
    </row>
    <row r="418" spans="2:52">
      <c r="B418" s="57"/>
      <c r="G418" s="46"/>
      <c r="L418" s="57"/>
      <c r="Q418" s="46"/>
      <c r="V418" s="57"/>
      <c r="AA418" s="46"/>
      <c r="AF418" s="57"/>
      <c r="AK418" s="46"/>
      <c r="AP418" s="57"/>
      <c r="AU418" s="46"/>
      <c r="AZ418" s="57"/>
    </row>
    <row r="419" spans="2:52">
      <c r="B419" s="57"/>
      <c r="G419" s="46"/>
      <c r="L419" s="57"/>
      <c r="Q419" s="46"/>
      <c r="V419" s="57"/>
      <c r="AA419" s="46"/>
      <c r="AF419" s="57"/>
      <c r="AK419" s="46"/>
      <c r="AP419" s="57"/>
      <c r="AU419" s="46"/>
      <c r="AZ419" s="57"/>
    </row>
    <row r="420" spans="2:52">
      <c r="B420" s="57"/>
      <c r="G420" s="46"/>
      <c r="L420" s="57"/>
      <c r="Q420" s="46"/>
      <c r="V420" s="57"/>
      <c r="AA420" s="46"/>
      <c r="AF420" s="57"/>
      <c r="AK420" s="46"/>
      <c r="AP420" s="57"/>
      <c r="AU420" s="46"/>
      <c r="AZ420" s="57"/>
    </row>
    <row r="421" spans="2:52">
      <c r="B421" s="57"/>
      <c r="G421" s="46"/>
      <c r="L421" s="57"/>
      <c r="Q421" s="46"/>
      <c r="V421" s="57"/>
      <c r="AA421" s="46"/>
      <c r="AF421" s="57"/>
      <c r="AK421" s="46"/>
      <c r="AP421" s="57"/>
      <c r="AU421" s="46"/>
      <c r="AZ421" s="57"/>
    </row>
    <row r="422" spans="2:52">
      <c r="B422" s="57"/>
      <c r="G422" s="46"/>
      <c r="L422" s="57"/>
      <c r="Q422" s="46"/>
      <c r="V422" s="57"/>
      <c r="AA422" s="46"/>
      <c r="AF422" s="57"/>
      <c r="AK422" s="46"/>
      <c r="AP422" s="57"/>
      <c r="AU422" s="46"/>
      <c r="AZ422" s="57"/>
    </row>
    <row r="423" spans="2:52">
      <c r="B423" s="57"/>
      <c r="G423" s="46"/>
      <c r="L423" s="57"/>
      <c r="Q423" s="46"/>
      <c r="V423" s="57"/>
      <c r="AA423" s="46"/>
      <c r="AF423" s="57"/>
      <c r="AK423" s="46"/>
      <c r="AP423" s="57"/>
      <c r="AU423" s="46"/>
      <c r="AZ423" s="57"/>
    </row>
    <row r="424" spans="2:52">
      <c r="B424" s="57"/>
      <c r="G424" s="46"/>
      <c r="L424" s="57"/>
      <c r="Q424" s="46"/>
      <c r="V424" s="57"/>
      <c r="AA424" s="46"/>
      <c r="AF424" s="57"/>
      <c r="AK424" s="46"/>
      <c r="AP424" s="57"/>
      <c r="AU424" s="46"/>
      <c r="AZ424" s="57"/>
    </row>
    <row r="425" spans="2:52">
      <c r="B425" s="57"/>
      <c r="G425" s="46"/>
      <c r="L425" s="57"/>
      <c r="Q425" s="46"/>
      <c r="V425" s="57"/>
      <c r="AA425" s="46"/>
      <c r="AF425" s="57"/>
      <c r="AK425" s="46"/>
      <c r="AP425" s="57"/>
      <c r="AU425" s="46"/>
      <c r="AZ425" s="57"/>
    </row>
    <row r="426" spans="2:52">
      <c r="B426" s="57"/>
      <c r="G426" s="46"/>
      <c r="L426" s="57"/>
      <c r="Q426" s="46"/>
      <c r="V426" s="57"/>
      <c r="AA426" s="46"/>
      <c r="AF426" s="57"/>
      <c r="AK426" s="46"/>
      <c r="AP426" s="57"/>
      <c r="AU426" s="46"/>
      <c r="AZ426" s="57"/>
    </row>
    <row r="427" spans="2:52">
      <c r="B427" s="57"/>
      <c r="G427" s="46"/>
      <c r="L427" s="57"/>
      <c r="Q427" s="46"/>
      <c r="V427" s="57"/>
      <c r="AA427" s="46"/>
      <c r="AF427" s="57"/>
      <c r="AK427" s="46"/>
      <c r="AP427" s="57"/>
      <c r="AU427" s="46"/>
      <c r="AZ427" s="57"/>
    </row>
    <row r="428" spans="2:52">
      <c r="B428" s="57"/>
      <c r="G428" s="46"/>
      <c r="L428" s="57"/>
      <c r="Q428" s="46"/>
      <c r="V428" s="57"/>
      <c r="AA428" s="46"/>
      <c r="AF428" s="57"/>
      <c r="AK428" s="46"/>
      <c r="AP428" s="57"/>
      <c r="AU428" s="46"/>
      <c r="AZ428" s="57"/>
    </row>
    <row r="429" spans="2:52">
      <c r="B429" s="57"/>
      <c r="G429" s="46"/>
      <c r="L429" s="57"/>
      <c r="Q429" s="46"/>
      <c r="V429" s="57"/>
      <c r="AA429" s="46"/>
      <c r="AF429" s="57"/>
      <c r="AK429" s="46"/>
      <c r="AP429" s="57"/>
      <c r="AU429" s="46"/>
      <c r="AZ429" s="57"/>
    </row>
    <row r="430" spans="2:52">
      <c r="B430" s="57"/>
      <c r="G430" s="46"/>
      <c r="L430" s="57"/>
      <c r="Q430" s="46"/>
      <c r="V430" s="57"/>
      <c r="AA430" s="46"/>
      <c r="AF430" s="57"/>
      <c r="AK430" s="46"/>
      <c r="AP430" s="57"/>
      <c r="AU430" s="46"/>
      <c r="AZ430" s="57"/>
    </row>
    <row r="431" spans="2:52">
      <c r="B431" s="57"/>
      <c r="G431" s="46"/>
      <c r="L431" s="57"/>
      <c r="Q431" s="46"/>
      <c r="V431" s="57"/>
      <c r="AA431" s="46"/>
      <c r="AF431" s="57"/>
      <c r="AK431" s="46"/>
      <c r="AP431" s="57"/>
      <c r="AU431" s="46"/>
      <c r="AZ431" s="57"/>
    </row>
    <row r="432" spans="2:52">
      <c r="B432" s="57"/>
      <c r="G432" s="46"/>
      <c r="L432" s="57"/>
      <c r="Q432" s="46"/>
      <c r="V432" s="57"/>
      <c r="AA432" s="46"/>
      <c r="AF432" s="57"/>
      <c r="AK432" s="46"/>
      <c r="AP432" s="57"/>
      <c r="AU432" s="46"/>
      <c r="AZ432" s="57"/>
    </row>
    <row r="433" spans="2:52">
      <c r="B433" s="57"/>
      <c r="G433" s="46"/>
      <c r="L433" s="57"/>
      <c r="Q433" s="46"/>
      <c r="V433" s="57"/>
      <c r="AA433" s="46"/>
      <c r="AF433" s="57"/>
      <c r="AK433" s="46"/>
      <c r="AP433" s="57"/>
      <c r="AU433" s="46"/>
      <c r="AZ433" s="57"/>
    </row>
    <row r="434" spans="2:52">
      <c r="B434" s="57"/>
      <c r="G434" s="46"/>
      <c r="L434" s="57"/>
      <c r="Q434" s="46"/>
      <c r="V434" s="57"/>
      <c r="AA434" s="46"/>
      <c r="AF434" s="57"/>
      <c r="AK434" s="46"/>
      <c r="AP434" s="57"/>
      <c r="AU434" s="46"/>
      <c r="AZ434" s="57"/>
    </row>
    <row r="435" spans="2:52">
      <c r="B435" s="57"/>
      <c r="G435" s="46"/>
      <c r="L435" s="57"/>
      <c r="Q435" s="46"/>
      <c r="V435" s="57"/>
      <c r="AA435" s="46"/>
      <c r="AF435" s="57"/>
      <c r="AK435" s="46"/>
      <c r="AP435" s="57"/>
      <c r="AU435" s="46"/>
      <c r="AZ435" s="57"/>
    </row>
    <row r="436" spans="2:52">
      <c r="B436" s="57"/>
      <c r="G436" s="46"/>
      <c r="L436" s="57"/>
      <c r="Q436" s="46"/>
      <c r="V436" s="57"/>
      <c r="AA436" s="46"/>
      <c r="AF436" s="57"/>
      <c r="AK436" s="46"/>
      <c r="AP436" s="57"/>
      <c r="AU436" s="46"/>
      <c r="AZ436" s="57"/>
    </row>
    <row r="437" spans="2:52">
      <c r="B437" s="57"/>
      <c r="G437" s="46"/>
      <c r="L437" s="57"/>
      <c r="Q437" s="46"/>
      <c r="V437" s="57"/>
      <c r="AA437" s="46"/>
      <c r="AF437" s="57"/>
      <c r="AK437" s="46"/>
      <c r="AP437" s="57"/>
      <c r="AU437" s="46"/>
      <c r="AZ437" s="57"/>
    </row>
    <row r="438" spans="2:52">
      <c r="B438" s="57"/>
      <c r="G438" s="46"/>
      <c r="L438" s="57"/>
      <c r="Q438" s="46"/>
      <c r="V438" s="57"/>
      <c r="AA438" s="46"/>
      <c r="AF438" s="57"/>
      <c r="AK438" s="46"/>
      <c r="AP438" s="57"/>
      <c r="AU438" s="46"/>
      <c r="AZ438" s="57"/>
    </row>
    <row r="439" spans="2:52">
      <c r="B439" s="57"/>
      <c r="G439" s="46"/>
      <c r="L439" s="57"/>
      <c r="Q439" s="46"/>
      <c r="V439" s="57"/>
      <c r="AA439" s="46"/>
      <c r="AF439" s="57"/>
      <c r="AK439" s="46"/>
      <c r="AP439" s="57"/>
      <c r="AU439" s="46"/>
      <c r="AZ439" s="57"/>
    </row>
    <row r="440" spans="2:52">
      <c r="B440" s="57"/>
      <c r="G440" s="46"/>
      <c r="L440" s="57"/>
      <c r="Q440" s="46"/>
      <c r="V440" s="57"/>
      <c r="AA440" s="46"/>
      <c r="AF440" s="57"/>
      <c r="AK440" s="46"/>
      <c r="AP440" s="57"/>
      <c r="AU440" s="46"/>
      <c r="AZ440" s="57"/>
    </row>
    <row r="441" spans="2:52">
      <c r="B441" s="57"/>
      <c r="G441" s="46"/>
      <c r="L441" s="57"/>
      <c r="Q441" s="46"/>
      <c r="V441" s="57"/>
      <c r="AA441" s="46"/>
      <c r="AF441" s="57"/>
      <c r="AK441" s="46"/>
      <c r="AP441" s="57"/>
      <c r="AU441" s="46"/>
      <c r="AZ441" s="57"/>
    </row>
    <row r="442" spans="2:52">
      <c r="B442" s="57"/>
      <c r="G442" s="46"/>
      <c r="L442" s="57"/>
      <c r="Q442" s="46"/>
      <c r="V442" s="57"/>
      <c r="AA442" s="46"/>
      <c r="AF442" s="57"/>
      <c r="AK442" s="46"/>
      <c r="AP442" s="57"/>
      <c r="AU442" s="46"/>
      <c r="AZ442" s="57"/>
    </row>
    <row r="443" spans="2:52">
      <c r="B443" s="57"/>
      <c r="G443" s="46"/>
      <c r="L443" s="57"/>
      <c r="Q443" s="46"/>
      <c r="V443" s="57"/>
      <c r="AA443" s="46"/>
      <c r="AF443" s="57"/>
      <c r="AK443" s="46"/>
      <c r="AP443" s="57"/>
      <c r="AU443" s="46"/>
      <c r="AZ443" s="57"/>
    </row>
    <row r="444" spans="2:52">
      <c r="B444" s="57"/>
      <c r="G444" s="46"/>
      <c r="L444" s="57"/>
      <c r="Q444" s="46"/>
      <c r="V444" s="57"/>
      <c r="AA444" s="46"/>
      <c r="AF444" s="57"/>
      <c r="AK444" s="46"/>
      <c r="AP444" s="57"/>
      <c r="AU444" s="46"/>
      <c r="AZ444" s="57"/>
    </row>
    <row r="445" spans="2:52">
      <c r="B445" s="57"/>
      <c r="G445" s="46"/>
      <c r="L445" s="57"/>
      <c r="Q445" s="46"/>
      <c r="V445" s="57"/>
      <c r="AA445" s="46"/>
      <c r="AF445" s="57"/>
      <c r="AK445" s="46"/>
      <c r="AP445" s="57"/>
      <c r="AU445" s="46"/>
      <c r="AZ445" s="57"/>
    </row>
    <row r="446" spans="2:52">
      <c r="B446" s="57"/>
      <c r="G446" s="46"/>
      <c r="L446" s="57"/>
      <c r="Q446" s="46"/>
      <c r="V446" s="57"/>
      <c r="AA446" s="46"/>
      <c r="AF446" s="57"/>
      <c r="AK446" s="46"/>
      <c r="AP446" s="57"/>
      <c r="AU446" s="46"/>
      <c r="AZ446" s="57"/>
    </row>
    <row r="447" spans="2:52">
      <c r="B447" s="57"/>
      <c r="G447" s="46"/>
      <c r="L447" s="57"/>
      <c r="Q447" s="46"/>
      <c r="V447" s="57"/>
      <c r="AA447" s="46"/>
      <c r="AF447" s="57"/>
      <c r="AK447" s="46"/>
      <c r="AP447" s="57"/>
      <c r="AU447" s="46"/>
      <c r="AZ447" s="57"/>
    </row>
    <row r="448" spans="2:52">
      <c r="B448" s="57"/>
      <c r="G448" s="46"/>
      <c r="L448" s="57"/>
      <c r="Q448" s="46"/>
      <c r="V448" s="57"/>
      <c r="AA448" s="46"/>
      <c r="AF448" s="57"/>
      <c r="AK448" s="46"/>
      <c r="AP448" s="57"/>
      <c r="AU448" s="46"/>
      <c r="AZ448" s="57"/>
    </row>
    <row r="449" spans="2:52">
      <c r="B449" s="57"/>
      <c r="G449" s="46"/>
      <c r="L449" s="57"/>
      <c r="Q449" s="46"/>
      <c r="V449" s="57"/>
      <c r="AA449" s="46"/>
      <c r="AF449" s="57"/>
      <c r="AK449" s="46"/>
      <c r="AP449" s="57"/>
      <c r="AU449" s="46"/>
      <c r="AZ449" s="57"/>
    </row>
    <row r="450" spans="2:52">
      <c r="B450" s="57"/>
      <c r="G450" s="46"/>
      <c r="L450" s="57"/>
      <c r="Q450" s="46"/>
      <c r="V450" s="57"/>
      <c r="AA450" s="46"/>
      <c r="AF450" s="57"/>
      <c r="AK450" s="46"/>
      <c r="AP450" s="57"/>
      <c r="AU450" s="46"/>
      <c r="AZ450" s="57"/>
    </row>
    <row r="451" spans="2:52">
      <c r="B451" s="57"/>
      <c r="G451" s="46"/>
      <c r="L451" s="57"/>
      <c r="Q451" s="46"/>
      <c r="V451" s="57"/>
      <c r="AA451" s="46"/>
      <c r="AF451" s="57"/>
      <c r="AK451" s="46"/>
      <c r="AP451" s="57"/>
      <c r="AU451" s="46"/>
      <c r="AZ451" s="57"/>
    </row>
    <row r="452" spans="2:52">
      <c r="B452" s="57"/>
      <c r="G452" s="46"/>
      <c r="L452" s="57"/>
      <c r="Q452" s="46"/>
      <c r="V452" s="57"/>
      <c r="AA452" s="46"/>
      <c r="AF452" s="57"/>
      <c r="AK452" s="46"/>
      <c r="AP452" s="57"/>
      <c r="AU452" s="46"/>
      <c r="AZ452" s="57"/>
    </row>
    <row r="453" spans="2:52">
      <c r="B453" s="57"/>
      <c r="G453" s="46"/>
      <c r="L453" s="57"/>
      <c r="Q453" s="46"/>
      <c r="V453" s="57"/>
      <c r="AA453" s="46"/>
      <c r="AF453" s="57"/>
      <c r="AK453" s="46"/>
      <c r="AP453" s="57"/>
      <c r="AU453" s="46"/>
      <c r="AZ453" s="57"/>
    </row>
    <row r="454" spans="2:52">
      <c r="B454" s="57"/>
      <c r="G454" s="46"/>
      <c r="L454" s="57"/>
      <c r="Q454" s="46"/>
      <c r="V454" s="57"/>
      <c r="AA454" s="46"/>
      <c r="AF454" s="57"/>
      <c r="AK454" s="46"/>
      <c r="AP454" s="57"/>
      <c r="AU454" s="46"/>
      <c r="AZ454" s="57"/>
    </row>
    <row r="455" spans="2:52">
      <c r="B455" s="57"/>
      <c r="G455" s="46"/>
      <c r="L455" s="57"/>
      <c r="Q455" s="46"/>
      <c r="V455" s="57"/>
      <c r="AA455" s="46"/>
      <c r="AF455" s="57"/>
      <c r="AK455" s="46"/>
      <c r="AP455" s="57"/>
      <c r="AU455" s="46"/>
      <c r="AZ455" s="57"/>
    </row>
    <row r="456" spans="2:52">
      <c r="B456" s="57"/>
      <c r="G456" s="46"/>
      <c r="L456" s="57"/>
      <c r="Q456" s="46"/>
      <c r="V456" s="57"/>
      <c r="AA456" s="46"/>
      <c r="AF456" s="57"/>
      <c r="AK456" s="46"/>
      <c r="AP456" s="57"/>
      <c r="AU456" s="46"/>
      <c r="AZ456" s="57"/>
    </row>
    <row r="457" spans="2:52">
      <c r="B457" s="57"/>
      <c r="G457" s="46"/>
      <c r="L457" s="57"/>
      <c r="Q457" s="46"/>
      <c r="V457" s="57"/>
      <c r="AA457" s="46"/>
      <c r="AF457" s="57"/>
      <c r="AK457" s="46"/>
      <c r="AP457" s="57"/>
      <c r="AU457" s="46"/>
      <c r="AZ457" s="57"/>
    </row>
    <row r="458" spans="2:52">
      <c r="B458" s="57"/>
      <c r="G458" s="46"/>
      <c r="L458" s="57"/>
      <c r="Q458" s="46"/>
      <c r="V458" s="57"/>
      <c r="AA458" s="46"/>
      <c r="AF458" s="57"/>
      <c r="AK458" s="46"/>
      <c r="AP458" s="57"/>
      <c r="AU458" s="46"/>
      <c r="AZ458" s="57"/>
    </row>
    <row r="459" spans="2:52">
      <c r="B459" s="57"/>
      <c r="G459" s="46"/>
      <c r="L459" s="57"/>
      <c r="Q459" s="46"/>
      <c r="V459" s="57"/>
      <c r="AA459" s="46"/>
      <c r="AF459" s="57"/>
      <c r="AK459" s="46"/>
      <c r="AP459" s="57"/>
      <c r="AU459" s="46"/>
      <c r="AZ459" s="57"/>
    </row>
    <row r="460" spans="2:52">
      <c r="B460" s="57"/>
      <c r="G460" s="46"/>
      <c r="L460" s="57"/>
      <c r="Q460" s="46"/>
      <c r="V460" s="57"/>
      <c r="AA460" s="46"/>
      <c r="AF460" s="57"/>
      <c r="AK460" s="46"/>
      <c r="AP460" s="57"/>
      <c r="AU460" s="46"/>
      <c r="AZ460" s="57"/>
    </row>
    <row r="461" spans="2:52">
      <c r="B461" s="57"/>
      <c r="G461" s="46"/>
      <c r="L461" s="57"/>
      <c r="Q461" s="46"/>
      <c r="V461" s="57"/>
      <c r="AA461" s="46"/>
      <c r="AF461" s="57"/>
      <c r="AK461" s="46"/>
      <c r="AP461" s="57"/>
      <c r="AU461" s="46"/>
      <c r="AZ461" s="57"/>
    </row>
    <row r="462" spans="2:52">
      <c r="B462" s="57"/>
      <c r="G462" s="46"/>
      <c r="L462" s="57"/>
      <c r="Q462" s="46"/>
      <c r="V462" s="57"/>
      <c r="AA462" s="46"/>
      <c r="AF462" s="57"/>
      <c r="AK462" s="46"/>
      <c r="AP462" s="57"/>
      <c r="AU462" s="46"/>
      <c r="AZ462" s="57"/>
    </row>
    <row r="463" spans="2:52">
      <c r="B463" s="57"/>
      <c r="G463" s="46"/>
      <c r="L463" s="57"/>
      <c r="Q463" s="46"/>
      <c r="V463" s="57"/>
      <c r="AA463" s="46"/>
      <c r="AF463" s="57"/>
      <c r="AK463" s="46"/>
      <c r="AP463" s="57"/>
      <c r="AU463" s="46"/>
      <c r="AZ463" s="57"/>
    </row>
    <row r="464" spans="2:52">
      <c r="B464" s="57"/>
      <c r="G464" s="46"/>
      <c r="L464" s="57"/>
      <c r="Q464" s="46"/>
      <c r="V464" s="57"/>
      <c r="AA464" s="46"/>
      <c r="AF464" s="57"/>
      <c r="AK464" s="46"/>
      <c r="AP464" s="57"/>
      <c r="AU464" s="46"/>
      <c r="AZ464" s="57"/>
    </row>
    <row r="465" spans="2:52">
      <c r="B465" s="57"/>
      <c r="G465" s="46"/>
      <c r="L465" s="57"/>
      <c r="Q465" s="46"/>
      <c r="V465" s="57"/>
      <c r="AA465" s="46"/>
      <c r="AF465" s="57"/>
      <c r="AK465" s="46"/>
      <c r="AP465" s="57"/>
      <c r="AU465" s="46"/>
      <c r="AZ465" s="57"/>
    </row>
    <row r="466" spans="2:52">
      <c r="B466" s="57"/>
      <c r="G466" s="46"/>
      <c r="L466" s="57"/>
      <c r="Q466" s="46"/>
      <c r="V466" s="57"/>
      <c r="AA466" s="46"/>
      <c r="AF466" s="57"/>
      <c r="AK466" s="46"/>
      <c r="AP466" s="57"/>
      <c r="AU466" s="46"/>
      <c r="AZ466" s="57"/>
    </row>
    <row r="467" spans="2:52">
      <c r="B467" s="57"/>
      <c r="G467" s="46"/>
      <c r="L467" s="57"/>
      <c r="Q467" s="46"/>
      <c r="V467" s="57"/>
      <c r="AA467" s="46"/>
      <c r="AF467" s="57"/>
      <c r="AK467" s="46"/>
      <c r="AP467" s="57"/>
      <c r="AU467" s="46"/>
      <c r="AZ467" s="57"/>
    </row>
    <row r="468" spans="2:52">
      <c r="B468" s="57"/>
      <c r="G468" s="46"/>
      <c r="L468" s="57"/>
      <c r="Q468" s="46"/>
      <c r="V468" s="57"/>
      <c r="AA468" s="46"/>
      <c r="AF468" s="57"/>
      <c r="AK468" s="46"/>
      <c r="AP468" s="57"/>
      <c r="AU468" s="46"/>
      <c r="AZ468" s="57"/>
    </row>
    <row r="469" spans="2:52">
      <c r="B469" s="57"/>
      <c r="G469" s="46"/>
      <c r="L469" s="57"/>
      <c r="Q469" s="46"/>
      <c r="V469" s="57"/>
      <c r="AA469" s="46"/>
      <c r="AF469" s="57"/>
      <c r="AK469" s="46"/>
      <c r="AP469" s="57"/>
      <c r="AU469" s="46"/>
      <c r="AZ469" s="57"/>
    </row>
    <row r="470" spans="2:52">
      <c r="B470" s="57"/>
      <c r="G470" s="46"/>
      <c r="L470" s="57"/>
      <c r="Q470" s="46"/>
      <c r="V470" s="57"/>
      <c r="AA470" s="46"/>
      <c r="AF470" s="57"/>
      <c r="AK470" s="46"/>
      <c r="AP470" s="57"/>
      <c r="AU470" s="46"/>
      <c r="AZ470" s="57"/>
    </row>
    <row r="500" spans="1:55" ht="12" thickBot="1"/>
    <row r="501" spans="1:55" ht="12" thickBot="1">
      <c r="A501" s="482" t="s">
        <v>392</v>
      </c>
      <c r="B501" s="483"/>
      <c r="C501" s="483"/>
      <c r="D501" s="483"/>
      <c r="E501" s="484"/>
      <c r="F501" s="482" t="s">
        <v>392</v>
      </c>
      <c r="G501" s="483"/>
      <c r="H501" s="483"/>
      <c r="I501" s="483"/>
      <c r="J501" s="484"/>
      <c r="K501" s="482" t="s">
        <v>392</v>
      </c>
      <c r="L501" s="483"/>
      <c r="M501" s="483"/>
      <c r="N501" s="483"/>
      <c r="O501" s="484"/>
      <c r="P501" s="482" t="s">
        <v>392</v>
      </c>
      <c r="Q501" s="483"/>
      <c r="R501" s="483"/>
      <c r="S501" s="483"/>
      <c r="T501" s="484"/>
      <c r="U501" s="482" t="s">
        <v>392</v>
      </c>
      <c r="V501" s="483"/>
      <c r="W501" s="483"/>
      <c r="X501" s="483"/>
      <c r="Y501" s="484"/>
      <c r="Z501" s="482" t="s">
        <v>392</v>
      </c>
      <c r="AA501" s="483"/>
      <c r="AB501" s="483"/>
      <c r="AC501" s="483"/>
      <c r="AD501" s="484"/>
      <c r="AE501" s="482" t="s">
        <v>392</v>
      </c>
      <c r="AF501" s="483"/>
      <c r="AG501" s="483"/>
      <c r="AH501" s="483"/>
      <c r="AI501" s="484"/>
      <c r="AJ501" s="482" t="s">
        <v>392</v>
      </c>
      <c r="AK501" s="483"/>
      <c r="AL501" s="483"/>
      <c r="AM501" s="483"/>
      <c r="AN501" s="484"/>
      <c r="AO501" s="482" t="s">
        <v>392</v>
      </c>
      <c r="AP501" s="483"/>
      <c r="AQ501" s="483"/>
      <c r="AR501" s="483"/>
      <c r="AS501" s="484"/>
      <c r="AT501" s="482" t="s">
        <v>392</v>
      </c>
      <c r="AU501" s="483"/>
      <c r="AV501" s="483"/>
      <c r="AW501" s="483"/>
      <c r="AX501" s="484"/>
      <c r="AY501" s="482" t="s">
        <v>392</v>
      </c>
      <c r="AZ501" s="483"/>
      <c r="BA501" s="483"/>
      <c r="BB501" s="483"/>
      <c r="BC501" s="484"/>
    </row>
    <row r="503" spans="1:55">
      <c r="F503" s="47" t="s">
        <v>642</v>
      </c>
      <c r="G503" s="188" t="s">
        <v>642</v>
      </c>
      <c r="H503" s="46">
        <v>190</v>
      </c>
      <c r="I503" s="46">
        <v>674.99969999999996</v>
      </c>
      <c r="J503" s="59">
        <v>297.99980000000005</v>
      </c>
      <c r="K503" s="56" t="s">
        <v>666</v>
      </c>
      <c r="L503" s="187" t="s">
        <v>599</v>
      </c>
      <c r="M503" s="57">
        <v>67</v>
      </c>
      <c r="N503" s="57">
        <v>230.01100000000002</v>
      </c>
      <c r="O503" s="58">
        <v>80.400000000000006</v>
      </c>
      <c r="AO503" s="56" t="s">
        <v>666</v>
      </c>
      <c r="AP503" s="187" t="s">
        <v>599</v>
      </c>
      <c r="AQ503" s="57">
        <v>67</v>
      </c>
      <c r="AR503" s="57">
        <v>230.01100000000002</v>
      </c>
      <c r="AS503" s="58">
        <v>80.400000000000006</v>
      </c>
      <c r="AT503" s="47" t="s">
        <v>642</v>
      </c>
      <c r="AU503" s="188" t="s">
        <v>642</v>
      </c>
      <c r="AV503" s="46">
        <v>190</v>
      </c>
      <c r="AW503" s="46">
        <v>674.99969999999996</v>
      </c>
      <c r="AX503" s="59">
        <v>297.99980000000005</v>
      </c>
    </row>
    <row r="504" spans="1:55">
      <c r="F504" s="47" t="s">
        <v>603</v>
      </c>
      <c r="G504" s="188" t="s">
        <v>603</v>
      </c>
      <c r="H504" s="46">
        <v>166</v>
      </c>
      <c r="I504" s="46">
        <v>586.64399999999989</v>
      </c>
      <c r="J504" s="59">
        <v>260.62</v>
      </c>
      <c r="K504" s="56" t="s">
        <v>667</v>
      </c>
      <c r="L504" s="187" t="s">
        <v>599</v>
      </c>
      <c r="M504" s="57">
        <v>67</v>
      </c>
      <c r="N504" s="57">
        <v>229.60899999999998</v>
      </c>
      <c r="O504" s="58">
        <v>86.698000000000008</v>
      </c>
      <c r="AO504" s="56" t="s">
        <v>667</v>
      </c>
      <c r="AP504" s="187" t="s">
        <v>599</v>
      </c>
      <c r="AQ504" s="57">
        <v>67</v>
      </c>
      <c r="AR504" s="57">
        <v>229.60899999999998</v>
      </c>
      <c r="AS504" s="58">
        <v>86.698000000000008</v>
      </c>
      <c r="AT504" s="47" t="s">
        <v>603</v>
      </c>
      <c r="AU504" s="188" t="s">
        <v>603</v>
      </c>
      <c r="AV504" s="46">
        <v>166</v>
      </c>
      <c r="AW504" s="46">
        <v>586.64399999999989</v>
      </c>
      <c r="AX504" s="59">
        <v>260.62</v>
      </c>
    </row>
    <row r="505" spans="1:55">
      <c r="F505" s="47" t="s">
        <v>604</v>
      </c>
      <c r="G505" s="188" t="s">
        <v>604</v>
      </c>
      <c r="H505" s="46">
        <v>178</v>
      </c>
      <c r="I505" s="46">
        <v>630.654</v>
      </c>
      <c r="J505" s="59">
        <v>279.45999999999998</v>
      </c>
      <c r="K505" s="56" t="s">
        <v>668</v>
      </c>
      <c r="L505" s="187" t="s">
        <v>669</v>
      </c>
      <c r="M505" s="57">
        <v>156</v>
      </c>
      <c r="N505" s="57">
        <v>538.20000000000005</v>
      </c>
      <c r="O505" s="58">
        <v>196.01400000000001</v>
      </c>
      <c r="AO505" s="56" t="s">
        <v>668</v>
      </c>
      <c r="AP505" s="187" t="s">
        <v>669</v>
      </c>
      <c r="AQ505" s="57">
        <v>156</v>
      </c>
      <c r="AR505" s="57">
        <v>538.20000000000005</v>
      </c>
      <c r="AS505" s="58">
        <v>196.01400000000001</v>
      </c>
      <c r="AT505" s="47" t="s">
        <v>604</v>
      </c>
      <c r="AU505" s="188" t="s">
        <v>604</v>
      </c>
      <c r="AV505" s="46">
        <v>178</v>
      </c>
      <c r="AW505" s="46">
        <v>630.654</v>
      </c>
      <c r="AX505" s="59">
        <v>279.45999999999998</v>
      </c>
    </row>
    <row r="506" spans="1:55">
      <c r="F506" s="47" t="s">
        <v>605</v>
      </c>
      <c r="G506" s="188" t="s">
        <v>605</v>
      </c>
      <c r="H506" s="46">
        <v>195</v>
      </c>
      <c r="I506" s="46">
        <v>691.86</v>
      </c>
      <c r="J506" s="59">
        <v>306.14999999999998</v>
      </c>
      <c r="K506" s="56" t="s">
        <v>670</v>
      </c>
      <c r="L506" s="187" t="s">
        <v>671</v>
      </c>
      <c r="M506" s="57">
        <v>120</v>
      </c>
      <c r="N506" s="57">
        <v>417.96</v>
      </c>
      <c r="O506" s="58">
        <v>133.32</v>
      </c>
      <c r="AO506" s="56" t="s">
        <v>670</v>
      </c>
      <c r="AP506" s="187" t="s">
        <v>671</v>
      </c>
      <c r="AQ506" s="57">
        <v>120</v>
      </c>
      <c r="AR506" s="57">
        <v>417.96</v>
      </c>
      <c r="AS506" s="58">
        <v>133.32</v>
      </c>
      <c r="AT506" s="47" t="s">
        <v>605</v>
      </c>
      <c r="AU506" s="188" t="s">
        <v>605</v>
      </c>
      <c r="AV506" s="46">
        <v>195</v>
      </c>
      <c r="AW506" s="46">
        <v>691.86</v>
      </c>
      <c r="AX506" s="59">
        <v>306.14999999999998</v>
      </c>
    </row>
    <row r="507" spans="1:55">
      <c r="F507" s="47" t="s">
        <v>606</v>
      </c>
      <c r="G507" s="188" t="s">
        <v>606</v>
      </c>
      <c r="H507" s="46">
        <v>186</v>
      </c>
      <c r="I507" s="46">
        <v>661.23</v>
      </c>
      <c r="J507" s="59">
        <v>292.02</v>
      </c>
      <c r="K507" s="56" t="s">
        <v>672</v>
      </c>
      <c r="L507" s="187" t="s">
        <v>671</v>
      </c>
      <c r="M507" s="57">
        <v>120</v>
      </c>
      <c r="N507" s="57">
        <v>417.96</v>
      </c>
      <c r="O507" s="58">
        <v>154.68</v>
      </c>
      <c r="AO507" s="56" t="s">
        <v>672</v>
      </c>
      <c r="AP507" s="187" t="s">
        <v>671</v>
      </c>
      <c r="AQ507" s="57">
        <v>120</v>
      </c>
      <c r="AR507" s="57">
        <v>417.96</v>
      </c>
      <c r="AS507" s="58">
        <v>154.68</v>
      </c>
      <c r="AT507" s="47" t="s">
        <v>606</v>
      </c>
      <c r="AU507" s="188" t="s">
        <v>606</v>
      </c>
      <c r="AV507" s="46">
        <v>186</v>
      </c>
      <c r="AW507" s="46">
        <v>661.23</v>
      </c>
      <c r="AX507" s="59">
        <v>292.02</v>
      </c>
    </row>
    <row r="508" spans="1:55">
      <c r="F508" s="47" t="s">
        <v>607</v>
      </c>
      <c r="G508" s="188" t="s">
        <v>607</v>
      </c>
      <c r="H508" s="46">
        <v>339</v>
      </c>
      <c r="I508" s="46">
        <v>1189.5509999999999</v>
      </c>
      <c r="J508" s="59">
        <v>532.23</v>
      </c>
      <c r="K508" s="56" t="s">
        <v>673</v>
      </c>
      <c r="L508" s="187" t="s">
        <v>674</v>
      </c>
      <c r="M508" s="57">
        <v>69</v>
      </c>
      <c r="N508" s="57">
        <v>237.429</v>
      </c>
      <c r="O508" s="58">
        <v>82.8</v>
      </c>
      <c r="AO508" s="56" t="s">
        <v>673</v>
      </c>
      <c r="AP508" s="187" t="s">
        <v>674</v>
      </c>
      <c r="AQ508" s="57">
        <v>69</v>
      </c>
      <c r="AR508" s="57">
        <v>237.429</v>
      </c>
      <c r="AS508" s="58">
        <v>82.8</v>
      </c>
      <c r="AT508" s="47" t="s">
        <v>607</v>
      </c>
      <c r="AU508" s="188" t="s">
        <v>607</v>
      </c>
      <c r="AV508" s="46">
        <v>339</v>
      </c>
      <c r="AW508" s="46">
        <v>1189.5509999999999</v>
      </c>
      <c r="AX508" s="59">
        <v>532.23</v>
      </c>
    </row>
    <row r="509" spans="1:55">
      <c r="F509" s="47" t="s">
        <v>608</v>
      </c>
      <c r="G509" s="188" t="s">
        <v>608</v>
      </c>
      <c r="H509" s="46">
        <v>341</v>
      </c>
      <c r="I509" s="46">
        <v>1196.569</v>
      </c>
      <c r="J509" s="59">
        <v>535.37</v>
      </c>
      <c r="K509" s="56" t="s">
        <v>675</v>
      </c>
      <c r="L509" s="187" t="s">
        <v>674</v>
      </c>
      <c r="M509" s="57">
        <v>69</v>
      </c>
      <c r="N509" s="57">
        <v>237.01499999999999</v>
      </c>
      <c r="O509" s="58">
        <v>82.8</v>
      </c>
      <c r="AO509" s="56" t="s">
        <v>675</v>
      </c>
      <c r="AP509" s="187" t="s">
        <v>674</v>
      </c>
      <c r="AQ509" s="57">
        <v>69</v>
      </c>
      <c r="AR509" s="57">
        <v>237.01499999999999</v>
      </c>
      <c r="AS509" s="58">
        <v>82.8</v>
      </c>
      <c r="AT509" s="47" t="s">
        <v>608</v>
      </c>
      <c r="AU509" s="188" t="s">
        <v>608</v>
      </c>
      <c r="AV509" s="46">
        <v>341</v>
      </c>
      <c r="AW509" s="46">
        <v>1196.569</v>
      </c>
      <c r="AX509" s="59">
        <v>535.37</v>
      </c>
    </row>
    <row r="510" spans="1:55">
      <c r="F510" s="47" t="s">
        <v>609</v>
      </c>
      <c r="G510" s="188" t="s">
        <v>609</v>
      </c>
      <c r="H510" s="46">
        <v>341</v>
      </c>
      <c r="I510" s="46">
        <v>1196.569</v>
      </c>
      <c r="J510" s="59">
        <v>535.37</v>
      </c>
      <c r="K510" s="56" t="s">
        <v>676</v>
      </c>
      <c r="L510" s="187" t="s">
        <v>677</v>
      </c>
      <c r="M510" s="57">
        <v>134</v>
      </c>
      <c r="N510" s="57">
        <v>459.62</v>
      </c>
      <c r="O510" s="58">
        <v>167.09799999999998</v>
      </c>
      <c r="AO510" s="56" t="s">
        <v>676</v>
      </c>
      <c r="AP510" s="187" t="s">
        <v>677</v>
      </c>
      <c r="AQ510" s="57">
        <v>134</v>
      </c>
      <c r="AR510" s="57">
        <v>459.62</v>
      </c>
      <c r="AS510" s="58">
        <v>167.09799999999998</v>
      </c>
      <c r="AT510" s="47" t="s">
        <v>609</v>
      </c>
      <c r="AU510" s="188" t="s">
        <v>609</v>
      </c>
      <c r="AV510" s="46">
        <v>341</v>
      </c>
      <c r="AW510" s="46">
        <v>1196.569</v>
      </c>
      <c r="AX510" s="59">
        <v>535.37</v>
      </c>
    </row>
    <row r="511" spans="1:55">
      <c r="F511" s="47" t="s">
        <v>643</v>
      </c>
      <c r="G511" s="188" t="s">
        <v>643</v>
      </c>
      <c r="H511" s="46">
        <v>355</v>
      </c>
      <c r="I511" s="46">
        <v>1244.9849999999999</v>
      </c>
      <c r="J511" s="59">
        <v>557.35</v>
      </c>
      <c r="K511" s="56" t="s">
        <v>678</v>
      </c>
      <c r="L511" s="187" t="s">
        <v>679</v>
      </c>
      <c r="M511" s="57">
        <v>240</v>
      </c>
      <c r="N511" s="57">
        <v>835.92</v>
      </c>
      <c r="O511" s="58">
        <v>288</v>
      </c>
      <c r="AO511" s="56" t="s">
        <v>678</v>
      </c>
      <c r="AP511" s="187" t="s">
        <v>679</v>
      </c>
      <c r="AQ511" s="57">
        <v>240</v>
      </c>
      <c r="AR511" s="57">
        <v>835.92</v>
      </c>
      <c r="AS511" s="58">
        <v>288</v>
      </c>
      <c r="AT511" s="47" t="s">
        <v>643</v>
      </c>
      <c r="AU511" s="188" t="s">
        <v>643</v>
      </c>
      <c r="AV511" s="46">
        <v>355</v>
      </c>
      <c r="AW511" s="46">
        <v>1244.9849999999999</v>
      </c>
      <c r="AX511" s="59">
        <v>557.35</v>
      </c>
    </row>
    <row r="512" spans="1:55">
      <c r="F512" s="47" t="s">
        <v>611</v>
      </c>
      <c r="G512" s="188" t="s">
        <v>611</v>
      </c>
      <c r="H512" s="46">
        <v>356</v>
      </c>
      <c r="I512" s="46">
        <v>1248.492</v>
      </c>
      <c r="J512" s="59">
        <v>558.91999999999996</v>
      </c>
      <c r="K512" s="56" t="s">
        <v>680</v>
      </c>
      <c r="L512" s="187" t="s">
        <v>681</v>
      </c>
      <c r="M512" s="57">
        <v>138</v>
      </c>
      <c r="N512" s="57">
        <v>474.44400000000002</v>
      </c>
      <c r="O512" s="58">
        <v>172.08600000000001</v>
      </c>
      <c r="AO512" s="56" t="s">
        <v>680</v>
      </c>
      <c r="AP512" s="187" t="s">
        <v>681</v>
      </c>
      <c r="AQ512" s="57">
        <v>138</v>
      </c>
      <c r="AR512" s="57">
        <v>474.44400000000002</v>
      </c>
      <c r="AS512" s="58">
        <v>172.08600000000001</v>
      </c>
      <c r="AT512" s="47" t="s">
        <v>611</v>
      </c>
      <c r="AU512" s="188" t="s">
        <v>611</v>
      </c>
      <c r="AV512" s="46">
        <v>356</v>
      </c>
      <c r="AW512" s="46">
        <v>1248.492</v>
      </c>
      <c r="AX512" s="59">
        <v>558.91999999999996</v>
      </c>
    </row>
    <row r="513" spans="6:50">
      <c r="F513" s="47" t="s">
        <v>612</v>
      </c>
      <c r="G513" s="188" t="s">
        <v>612</v>
      </c>
      <c r="H513" s="46">
        <v>169</v>
      </c>
      <c r="I513" s="46">
        <v>595.38700000000006</v>
      </c>
      <c r="J513" s="59">
        <v>265.33</v>
      </c>
      <c r="K513" s="56" t="s">
        <v>682</v>
      </c>
      <c r="L513" s="187" t="s">
        <v>533</v>
      </c>
      <c r="M513" s="57">
        <v>611</v>
      </c>
      <c r="N513" s="57">
        <v>2069.4569999999999</v>
      </c>
      <c r="O513" s="58">
        <v>733.2</v>
      </c>
      <c r="AO513" s="56" t="s">
        <v>682</v>
      </c>
      <c r="AP513" s="187" t="s">
        <v>533</v>
      </c>
      <c r="AQ513" s="57">
        <v>611</v>
      </c>
      <c r="AR513" s="57">
        <v>2069.4569999999999</v>
      </c>
      <c r="AS513" s="58">
        <v>733.2</v>
      </c>
      <c r="AT513" s="47" t="s">
        <v>612</v>
      </c>
      <c r="AU513" s="188" t="s">
        <v>612</v>
      </c>
      <c r="AV513" s="46">
        <v>169</v>
      </c>
      <c r="AW513" s="46">
        <v>595.38700000000006</v>
      </c>
      <c r="AX513" s="59">
        <v>265.33</v>
      </c>
    </row>
    <row r="514" spans="6:50">
      <c r="F514" s="47" t="s">
        <v>613</v>
      </c>
      <c r="G514" s="188" t="s">
        <v>613</v>
      </c>
      <c r="H514" s="46">
        <v>345</v>
      </c>
      <c r="I514" s="46">
        <v>1210.6049999999998</v>
      </c>
      <c r="J514" s="59">
        <v>541.65</v>
      </c>
      <c r="K514" s="56" t="s">
        <v>683</v>
      </c>
      <c r="L514" s="187" t="s">
        <v>533</v>
      </c>
      <c r="M514" s="57">
        <v>611</v>
      </c>
      <c r="N514" s="57">
        <v>2065.7910000000002</v>
      </c>
      <c r="O514" s="58">
        <v>791.85599999999988</v>
      </c>
      <c r="AO514" s="56" t="s">
        <v>683</v>
      </c>
      <c r="AP514" s="187" t="s">
        <v>533</v>
      </c>
      <c r="AQ514" s="57">
        <v>611</v>
      </c>
      <c r="AR514" s="57">
        <v>2065.7910000000002</v>
      </c>
      <c r="AS514" s="58">
        <v>791.85599999999988</v>
      </c>
      <c r="AT514" s="47" t="s">
        <v>613</v>
      </c>
      <c r="AU514" s="188" t="s">
        <v>613</v>
      </c>
      <c r="AV514" s="46">
        <v>345</v>
      </c>
      <c r="AW514" s="46">
        <v>1210.6049999999998</v>
      </c>
      <c r="AX514" s="59">
        <v>541.65</v>
      </c>
    </row>
    <row r="515" spans="6:50">
      <c r="F515" s="47" t="s">
        <v>614</v>
      </c>
      <c r="G515" s="188" t="s">
        <v>614</v>
      </c>
      <c r="H515" s="46">
        <v>341</v>
      </c>
      <c r="I515" s="46">
        <v>1196.569</v>
      </c>
      <c r="J515" s="59">
        <v>535.37</v>
      </c>
      <c r="K515" s="56" t="s">
        <v>684</v>
      </c>
      <c r="L515" s="187" t="s">
        <v>502</v>
      </c>
      <c r="M515" s="57">
        <v>620</v>
      </c>
      <c r="N515" s="57">
        <v>2091.88</v>
      </c>
      <c r="O515" s="58">
        <v>744</v>
      </c>
      <c r="AO515" s="56" t="s">
        <v>684</v>
      </c>
      <c r="AP515" s="187" t="s">
        <v>502</v>
      </c>
      <c r="AQ515" s="57">
        <v>620</v>
      </c>
      <c r="AR515" s="57">
        <v>2091.88</v>
      </c>
      <c r="AS515" s="58">
        <v>744</v>
      </c>
      <c r="AT515" s="47" t="s">
        <v>614</v>
      </c>
      <c r="AU515" s="188" t="s">
        <v>614</v>
      </c>
      <c r="AV515" s="46">
        <v>341</v>
      </c>
      <c r="AW515" s="46">
        <v>1196.569</v>
      </c>
      <c r="AX515" s="59">
        <v>535.37</v>
      </c>
    </row>
    <row r="516" spans="6:50">
      <c r="F516" s="47" t="s">
        <v>615</v>
      </c>
      <c r="G516" s="188" t="s">
        <v>615</v>
      </c>
      <c r="H516" s="46">
        <v>184</v>
      </c>
      <c r="I516" s="46">
        <v>651.36</v>
      </c>
      <c r="J516" s="59">
        <v>288.88</v>
      </c>
      <c r="K516" s="56" t="s">
        <v>685</v>
      </c>
      <c r="L516" s="187" t="s">
        <v>502</v>
      </c>
      <c r="M516" s="57">
        <v>620</v>
      </c>
      <c r="N516" s="57">
        <v>2088.16</v>
      </c>
      <c r="O516" s="58">
        <v>804.14</v>
      </c>
      <c r="AO516" s="56" t="s">
        <v>685</v>
      </c>
      <c r="AP516" s="187" t="s">
        <v>502</v>
      </c>
      <c r="AQ516" s="57">
        <v>620</v>
      </c>
      <c r="AR516" s="57">
        <v>2088.16</v>
      </c>
      <c r="AS516" s="58">
        <v>804.14</v>
      </c>
      <c r="AT516" s="47" t="s">
        <v>615</v>
      </c>
      <c r="AU516" s="188" t="s">
        <v>615</v>
      </c>
      <c r="AV516" s="46">
        <v>184</v>
      </c>
      <c r="AW516" s="46">
        <v>651.36</v>
      </c>
      <c r="AX516" s="59">
        <v>288.88</v>
      </c>
    </row>
    <row r="517" spans="6:50">
      <c r="F517" s="47" t="s">
        <v>616</v>
      </c>
      <c r="G517" s="188" t="s">
        <v>616</v>
      </c>
      <c r="H517" s="46">
        <v>178</v>
      </c>
      <c r="I517" s="46">
        <v>632.61199999999997</v>
      </c>
      <c r="J517" s="59">
        <v>279.45999999999998</v>
      </c>
      <c r="K517" s="56" t="s">
        <v>721</v>
      </c>
      <c r="L517" s="187" t="s">
        <v>722</v>
      </c>
      <c r="M517" s="57">
        <v>1222</v>
      </c>
      <c r="N517" s="57">
        <v>4135.2479999999996</v>
      </c>
      <c r="O517" s="58">
        <v>1525.056</v>
      </c>
      <c r="AO517" s="56" t="s">
        <v>721</v>
      </c>
      <c r="AP517" s="187" t="s">
        <v>722</v>
      </c>
      <c r="AQ517" s="57">
        <v>1222</v>
      </c>
      <c r="AR517" s="57">
        <v>4135.2479999999996</v>
      </c>
      <c r="AS517" s="58">
        <v>1525.056</v>
      </c>
      <c r="AT517" s="47" t="s">
        <v>616</v>
      </c>
      <c r="AU517" s="188" t="s">
        <v>616</v>
      </c>
      <c r="AV517" s="46">
        <v>178</v>
      </c>
      <c r="AW517" s="46">
        <v>632.61199999999997</v>
      </c>
      <c r="AX517" s="59">
        <v>279.45999999999998</v>
      </c>
    </row>
    <row r="518" spans="6:50">
      <c r="F518" s="47" t="s">
        <v>617</v>
      </c>
      <c r="G518" s="188" t="s">
        <v>617</v>
      </c>
      <c r="H518" s="46">
        <v>123</v>
      </c>
      <c r="I518" s="46">
        <v>433.82099999999997</v>
      </c>
      <c r="J518" s="59">
        <v>193.11</v>
      </c>
      <c r="K518" s="56" t="s">
        <v>686</v>
      </c>
      <c r="L518" s="187" t="s">
        <v>520</v>
      </c>
      <c r="M518" s="57">
        <v>950</v>
      </c>
      <c r="N518" s="57">
        <v>3229.05</v>
      </c>
      <c r="O518" s="58">
        <v>1140</v>
      </c>
      <c r="AO518" s="56" t="s">
        <v>686</v>
      </c>
      <c r="AP518" s="187" t="s">
        <v>520</v>
      </c>
      <c r="AQ518" s="57">
        <v>950</v>
      </c>
      <c r="AR518" s="57">
        <v>3229.05</v>
      </c>
      <c r="AS518" s="58">
        <v>1140</v>
      </c>
      <c r="AT518" s="47" t="s">
        <v>617</v>
      </c>
      <c r="AU518" s="188" t="s">
        <v>617</v>
      </c>
      <c r="AV518" s="46">
        <v>123</v>
      </c>
      <c r="AW518" s="46">
        <v>433.82099999999997</v>
      </c>
      <c r="AX518" s="59">
        <v>193.11</v>
      </c>
    </row>
    <row r="519" spans="6:50">
      <c r="F519" s="47" t="s">
        <v>644</v>
      </c>
      <c r="G519" s="188" t="s">
        <v>644</v>
      </c>
      <c r="H519" s="46">
        <v>130</v>
      </c>
      <c r="I519" s="46">
        <v>459.81</v>
      </c>
      <c r="J519" s="59">
        <v>204.1</v>
      </c>
      <c r="K519" s="56" t="s">
        <v>687</v>
      </c>
      <c r="L519" s="187" t="s">
        <v>520</v>
      </c>
      <c r="M519" s="57">
        <v>950</v>
      </c>
      <c r="N519" s="57">
        <v>3223.35</v>
      </c>
      <c r="O519" s="58">
        <v>1247.3500000000001</v>
      </c>
      <c r="AO519" s="56" t="s">
        <v>687</v>
      </c>
      <c r="AP519" s="187" t="s">
        <v>520</v>
      </c>
      <c r="AQ519" s="57">
        <v>950</v>
      </c>
      <c r="AR519" s="57">
        <v>3223.35</v>
      </c>
      <c r="AS519" s="58">
        <v>1247.3500000000001</v>
      </c>
      <c r="AT519" s="47" t="s">
        <v>644</v>
      </c>
      <c r="AU519" s="188" t="s">
        <v>644</v>
      </c>
      <c r="AV519" s="46">
        <v>130</v>
      </c>
      <c r="AW519" s="46">
        <v>459.81</v>
      </c>
      <c r="AX519" s="59">
        <v>204.1</v>
      </c>
    </row>
    <row r="520" spans="6:50">
      <c r="F520" s="47" t="s">
        <v>645</v>
      </c>
      <c r="G520" s="188" t="s">
        <v>645</v>
      </c>
      <c r="H520" s="46">
        <v>135</v>
      </c>
      <c r="I520" s="46">
        <v>478.30500000000001</v>
      </c>
      <c r="J520" s="59">
        <v>211.95</v>
      </c>
      <c r="K520" s="56" t="s">
        <v>688</v>
      </c>
      <c r="L520" s="187" t="s">
        <v>518</v>
      </c>
      <c r="M520" s="57">
        <v>702</v>
      </c>
      <c r="N520" s="57">
        <v>2388.2039999999997</v>
      </c>
      <c r="O520" s="58">
        <v>842.4</v>
      </c>
      <c r="AO520" s="56" t="s">
        <v>688</v>
      </c>
      <c r="AP520" s="187" t="s">
        <v>518</v>
      </c>
      <c r="AQ520" s="57">
        <v>702</v>
      </c>
      <c r="AR520" s="57">
        <v>2388.2039999999997</v>
      </c>
      <c r="AS520" s="58">
        <v>842.4</v>
      </c>
      <c r="AT520" s="47" t="s">
        <v>645</v>
      </c>
      <c r="AU520" s="188" t="s">
        <v>645</v>
      </c>
      <c r="AV520" s="46">
        <v>135</v>
      </c>
      <c r="AW520" s="46">
        <v>478.30500000000001</v>
      </c>
      <c r="AX520" s="59">
        <v>211.95</v>
      </c>
    </row>
    <row r="521" spans="6:50">
      <c r="F521" s="47" t="s">
        <v>619</v>
      </c>
      <c r="G521" s="188" t="s">
        <v>619</v>
      </c>
      <c r="H521" s="46">
        <v>139</v>
      </c>
      <c r="I521" s="46">
        <v>492.33799999999997</v>
      </c>
      <c r="J521" s="59">
        <v>218.23</v>
      </c>
      <c r="K521" s="56" t="s">
        <v>689</v>
      </c>
      <c r="L521" s="187" t="s">
        <v>518</v>
      </c>
      <c r="M521" s="57">
        <v>702</v>
      </c>
      <c r="N521" s="57">
        <v>2383.9920000000002</v>
      </c>
      <c r="O521" s="58">
        <v>921.72600000000011</v>
      </c>
      <c r="AO521" s="56" t="s">
        <v>689</v>
      </c>
      <c r="AP521" s="187" t="s">
        <v>518</v>
      </c>
      <c r="AQ521" s="57">
        <v>702</v>
      </c>
      <c r="AR521" s="57">
        <v>2383.9920000000002</v>
      </c>
      <c r="AS521" s="58">
        <v>921.72600000000011</v>
      </c>
      <c r="AT521" s="47" t="s">
        <v>619</v>
      </c>
      <c r="AU521" s="188" t="s">
        <v>619</v>
      </c>
      <c r="AV521" s="46">
        <v>139</v>
      </c>
      <c r="AW521" s="46">
        <v>492.33799999999997</v>
      </c>
      <c r="AX521" s="59">
        <v>218.23</v>
      </c>
    </row>
    <row r="522" spans="6:50">
      <c r="F522" s="47" t="s">
        <v>620</v>
      </c>
      <c r="G522" s="188" t="s">
        <v>620</v>
      </c>
      <c r="H522" s="46">
        <v>135</v>
      </c>
      <c r="I522" s="46">
        <v>476.95499999999998</v>
      </c>
      <c r="J522" s="59">
        <v>211.95</v>
      </c>
      <c r="K522" s="56" t="s">
        <v>690</v>
      </c>
      <c r="L522" s="187" t="s">
        <v>516</v>
      </c>
      <c r="M522" s="57">
        <v>951</v>
      </c>
      <c r="N522" s="57">
        <v>3238.1550000000002</v>
      </c>
      <c r="O522" s="58">
        <v>1141.2</v>
      </c>
      <c r="AO522" s="56" t="s">
        <v>690</v>
      </c>
      <c r="AP522" s="187" t="s">
        <v>516</v>
      </c>
      <c r="AQ522" s="57">
        <v>951</v>
      </c>
      <c r="AR522" s="57">
        <v>3238.1550000000002</v>
      </c>
      <c r="AS522" s="58">
        <v>1141.2</v>
      </c>
      <c r="AT522" s="47" t="s">
        <v>620</v>
      </c>
      <c r="AU522" s="188" t="s">
        <v>620</v>
      </c>
      <c r="AV522" s="46">
        <v>135</v>
      </c>
      <c r="AW522" s="46">
        <v>476.95499999999998</v>
      </c>
      <c r="AX522" s="59">
        <v>211.95</v>
      </c>
    </row>
    <row r="523" spans="6:50">
      <c r="F523" s="47" t="s">
        <v>621</v>
      </c>
      <c r="G523" s="188" t="s">
        <v>621</v>
      </c>
      <c r="H523" s="46">
        <v>127</v>
      </c>
      <c r="I523" s="46">
        <v>447.80200000000002</v>
      </c>
      <c r="J523" s="59">
        <v>199.39</v>
      </c>
      <c r="K523" s="56" t="s">
        <v>691</v>
      </c>
      <c r="L523" s="187" t="s">
        <v>516</v>
      </c>
      <c r="M523" s="57">
        <v>951</v>
      </c>
      <c r="N523" s="57">
        <v>3232.4489999999996</v>
      </c>
      <c r="O523" s="58">
        <v>1248.6630000000002</v>
      </c>
      <c r="AO523" s="56" t="s">
        <v>691</v>
      </c>
      <c r="AP523" s="187" t="s">
        <v>516</v>
      </c>
      <c r="AQ523" s="57">
        <v>951</v>
      </c>
      <c r="AR523" s="57">
        <v>3232.4489999999996</v>
      </c>
      <c r="AS523" s="58">
        <v>1248.6630000000002</v>
      </c>
      <c r="AT523" s="47" t="s">
        <v>621</v>
      </c>
      <c r="AU523" s="188" t="s">
        <v>621</v>
      </c>
      <c r="AV523" s="46">
        <v>127</v>
      </c>
      <c r="AW523" s="46">
        <v>447.80200000000002</v>
      </c>
      <c r="AX523" s="59">
        <v>199.39</v>
      </c>
    </row>
    <row r="524" spans="6:50">
      <c r="K524" s="56" t="s">
        <v>692</v>
      </c>
      <c r="L524" s="187" t="s">
        <v>520</v>
      </c>
      <c r="M524" s="57">
        <v>1900</v>
      </c>
      <c r="N524" s="57">
        <v>6452.4</v>
      </c>
      <c r="O524" s="58">
        <v>2387.35</v>
      </c>
      <c r="AO524" s="56" t="s">
        <v>692</v>
      </c>
      <c r="AP524" s="187" t="s">
        <v>520</v>
      </c>
      <c r="AQ524" s="57">
        <v>1900</v>
      </c>
      <c r="AR524" s="57">
        <v>6452.4</v>
      </c>
      <c r="AS524" s="58">
        <v>2387.35</v>
      </c>
    </row>
    <row r="525" spans="6:50">
      <c r="K525" s="56" t="s">
        <v>693</v>
      </c>
      <c r="L525" s="187" t="s">
        <v>518</v>
      </c>
      <c r="M525" s="57">
        <v>1404</v>
      </c>
      <c r="N525" s="57">
        <v>4772.1959999999999</v>
      </c>
      <c r="O525" s="58">
        <v>1764.126</v>
      </c>
      <c r="AO525" s="56" t="s">
        <v>693</v>
      </c>
      <c r="AP525" s="187" t="s">
        <v>518</v>
      </c>
      <c r="AQ525" s="57">
        <v>1404</v>
      </c>
      <c r="AR525" s="57">
        <v>4772.1959999999999</v>
      </c>
      <c r="AS525" s="58">
        <v>1764.126</v>
      </c>
    </row>
    <row r="526" spans="6:50">
      <c r="K526" s="56" t="s">
        <v>694</v>
      </c>
      <c r="L526" s="187" t="s">
        <v>516</v>
      </c>
      <c r="M526" s="57">
        <v>1902</v>
      </c>
      <c r="N526" s="57">
        <v>6470.6040000000003</v>
      </c>
      <c r="O526" s="58">
        <v>2389.8630000000003</v>
      </c>
      <c r="AO526" s="56" t="s">
        <v>694</v>
      </c>
      <c r="AP526" s="187" t="s">
        <v>516</v>
      </c>
      <c r="AQ526" s="57">
        <v>1902</v>
      </c>
      <c r="AR526" s="57">
        <v>6470.6040000000003</v>
      </c>
      <c r="AS526" s="58">
        <v>2389.8630000000003</v>
      </c>
    </row>
    <row r="527" spans="6:50">
      <c r="K527" s="56" t="s">
        <v>695</v>
      </c>
      <c r="L527" s="187" t="s">
        <v>524</v>
      </c>
      <c r="M527" s="57">
        <v>540</v>
      </c>
      <c r="N527" s="57">
        <v>1839.78</v>
      </c>
      <c r="O527" s="58">
        <v>596.16</v>
      </c>
      <c r="AO527" s="56" t="s">
        <v>695</v>
      </c>
      <c r="AP527" s="187" t="s">
        <v>524</v>
      </c>
      <c r="AQ527" s="57">
        <v>540</v>
      </c>
      <c r="AR527" s="57">
        <v>1839.78</v>
      </c>
      <c r="AS527" s="58">
        <v>596.16</v>
      </c>
    </row>
    <row r="528" spans="6:50">
      <c r="K528" s="56" t="s">
        <v>696</v>
      </c>
      <c r="L528" s="187" t="s">
        <v>524</v>
      </c>
      <c r="M528" s="57">
        <v>540</v>
      </c>
      <c r="N528" s="57">
        <v>1843.02</v>
      </c>
      <c r="O528" s="58">
        <v>648</v>
      </c>
      <c r="AO528" s="56" t="s">
        <v>696</v>
      </c>
      <c r="AP528" s="187" t="s">
        <v>524</v>
      </c>
      <c r="AQ528" s="57">
        <v>540</v>
      </c>
      <c r="AR528" s="57">
        <v>1843.02</v>
      </c>
      <c r="AS528" s="58">
        <v>648</v>
      </c>
    </row>
    <row r="529" spans="11:45">
      <c r="K529" s="56" t="s">
        <v>697</v>
      </c>
      <c r="L529" s="187" t="s">
        <v>524</v>
      </c>
      <c r="M529" s="57">
        <v>540</v>
      </c>
      <c r="N529" s="57">
        <v>1839.78</v>
      </c>
      <c r="O529" s="58">
        <v>699.84</v>
      </c>
      <c r="AO529" s="56" t="s">
        <v>697</v>
      </c>
      <c r="AP529" s="187" t="s">
        <v>524</v>
      </c>
      <c r="AQ529" s="57">
        <v>540</v>
      </c>
      <c r="AR529" s="57">
        <v>1839.78</v>
      </c>
      <c r="AS529" s="58">
        <v>699.84</v>
      </c>
    </row>
    <row r="530" spans="11:45">
      <c r="K530" s="56" t="s">
        <v>698</v>
      </c>
      <c r="L530" s="187" t="s">
        <v>699</v>
      </c>
      <c r="M530" s="57">
        <v>1020</v>
      </c>
      <c r="N530" s="57">
        <v>3458.82</v>
      </c>
      <c r="O530" s="58">
        <v>1175.04</v>
      </c>
      <c r="AO530" s="56" t="s">
        <v>698</v>
      </c>
      <c r="AP530" s="187" t="s">
        <v>699</v>
      </c>
      <c r="AQ530" s="57">
        <v>1020</v>
      </c>
      <c r="AR530" s="57">
        <v>3458.82</v>
      </c>
      <c r="AS530" s="58">
        <v>1175.04</v>
      </c>
    </row>
    <row r="531" spans="11:45">
      <c r="K531" s="56" t="s">
        <v>700</v>
      </c>
      <c r="L531" s="187" t="s">
        <v>699</v>
      </c>
      <c r="M531" s="57">
        <v>1020</v>
      </c>
      <c r="N531" s="57">
        <v>3455.76</v>
      </c>
      <c r="O531" s="58">
        <v>1224</v>
      </c>
      <c r="AO531" s="56" t="s">
        <v>700</v>
      </c>
      <c r="AP531" s="187" t="s">
        <v>699</v>
      </c>
      <c r="AQ531" s="57">
        <v>1020</v>
      </c>
      <c r="AR531" s="57">
        <v>3455.76</v>
      </c>
      <c r="AS531" s="58">
        <v>1224</v>
      </c>
    </row>
    <row r="532" spans="11:45">
      <c r="K532" s="56" t="s">
        <v>701</v>
      </c>
      <c r="L532" s="187" t="s">
        <v>699</v>
      </c>
      <c r="M532" s="57">
        <v>1020</v>
      </c>
      <c r="N532" s="57">
        <v>3458.82</v>
      </c>
      <c r="O532" s="58">
        <v>1272.96</v>
      </c>
      <c r="AO532" s="56" t="s">
        <v>701</v>
      </c>
      <c r="AP532" s="187" t="s">
        <v>699</v>
      </c>
      <c r="AQ532" s="57">
        <v>1020</v>
      </c>
      <c r="AR532" s="57">
        <v>3458.82</v>
      </c>
      <c r="AS532" s="58">
        <v>1272.96</v>
      </c>
    </row>
    <row r="533" spans="11:45">
      <c r="K533" s="56" t="s">
        <v>702</v>
      </c>
      <c r="L533" s="187" t="s">
        <v>699</v>
      </c>
      <c r="M533" s="57">
        <v>1530</v>
      </c>
      <c r="N533" s="57">
        <v>5189.76</v>
      </c>
      <c r="O533" s="58">
        <v>1836</v>
      </c>
      <c r="AO533" s="56" t="s">
        <v>702</v>
      </c>
      <c r="AP533" s="187" t="s">
        <v>699</v>
      </c>
      <c r="AQ533" s="57">
        <v>1530</v>
      </c>
      <c r="AR533" s="57">
        <v>5189.76</v>
      </c>
      <c r="AS533" s="58">
        <v>1836</v>
      </c>
    </row>
    <row r="534" spans="11:45">
      <c r="K534" s="56" t="s">
        <v>703</v>
      </c>
      <c r="L534" s="187" t="s">
        <v>704</v>
      </c>
      <c r="M534" s="57">
        <v>1080</v>
      </c>
      <c r="N534" s="57">
        <v>3682.8</v>
      </c>
      <c r="O534" s="58">
        <v>1244.1600000000001</v>
      </c>
      <c r="AO534" s="56" t="s">
        <v>703</v>
      </c>
      <c r="AP534" s="187" t="s">
        <v>704</v>
      </c>
      <c r="AQ534" s="57">
        <v>1080</v>
      </c>
      <c r="AR534" s="57">
        <v>3682.8</v>
      </c>
      <c r="AS534" s="58">
        <v>1244.1600000000001</v>
      </c>
    </row>
    <row r="535" spans="11:45">
      <c r="K535" s="56" t="s">
        <v>705</v>
      </c>
      <c r="L535" s="187" t="s">
        <v>704</v>
      </c>
      <c r="M535" s="57">
        <v>1080</v>
      </c>
      <c r="N535" s="57">
        <v>3679.56</v>
      </c>
      <c r="O535" s="58">
        <v>1296</v>
      </c>
      <c r="AO535" s="56" t="s">
        <v>705</v>
      </c>
      <c r="AP535" s="187" t="s">
        <v>704</v>
      </c>
      <c r="AQ535" s="57">
        <v>1080</v>
      </c>
      <c r="AR535" s="57">
        <v>3679.56</v>
      </c>
      <c r="AS535" s="58">
        <v>1296</v>
      </c>
    </row>
    <row r="536" spans="11:45">
      <c r="K536" s="56" t="s">
        <v>706</v>
      </c>
      <c r="L536" s="187" t="s">
        <v>704</v>
      </c>
      <c r="M536" s="57">
        <v>1080</v>
      </c>
      <c r="N536" s="57">
        <v>3682.8</v>
      </c>
      <c r="O536" s="58">
        <v>1347.84</v>
      </c>
      <c r="AO536" s="56" t="s">
        <v>706</v>
      </c>
      <c r="AP536" s="187" t="s">
        <v>704</v>
      </c>
      <c r="AQ536" s="57">
        <v>1080</v>
      </c>
      <c r="AR536" s="57">
        <v>3682.8</v>
      </c>
      <c r="AS536" s="58">
        <v>1347.84</v>
      </c>
    </row>
    <row r="537" spans="11:45">
      <c r="K537" s="56" t="s">
        <v>707</v>
      </c>
      <c r="L537" s="187" t="s">
        <v>708</v>
      </c>
      <c r="M537" s="57">
        <v>1620</v>
      </c>
      <c r="N537" s="57">
        <v>5522.58</v>
      </c>
      <c r="O537" s="58">
        <v>1944</v>
      </c>
      <c r="AO537" s="56" t="s">
        <v>707</v>
      </c>
      <c r="AP537" s="187" t="s">
        <v>708</v>
      </c>
      <c r="AQ537" s="57">
        <v>1620</v>
      </c>
      <c r="AR537" s="57">
        <v>5522.58</v>
      </c>
      <c r="AS537" s="58">
        <v>1944</v>
      </c>
    </row>
    <row r="538" spans="11:45">
      <c r="K538" s="56" t="s">
        <v>709</v>
      </c>
      <c r="L538" s="187" t="s">
        <v>523</v>
      </c>
      <c r="M538" s="57">
        <v>510</v>
      </c>
      <c r="N538" s="57">
        <v>1727.88</v>
      </c>
      <c r="O538" s="58">
        <v>563.04</v>
      </c>
      <c r="AO538" s="56" t="s">
        <v>709</v>
      </c>
      <c r="AP538" s="187" t="s">
        <v>523</v>
      </c>
      <c r="AQ538" s="57">
        <v>510</v>
      </c>
      <c r="AR538" s="57">
        <v>1727.88</v>
      </c>
      <c r="AS538" s="58">
        <v>563.04</v>
      </c>
    </row>
    <row r="539" spans="11:45">
      <c r="K539" s="56" t="s">
        <v>710</v>
      </c>
      <c r="L539" s="187" t="s">
        <v>523</v>
      </c>
      <c r="M539" s="57">
        <v>510</v>
      </c>
      <c r="N539" s="57">
        <v>1730.94</v>
      </c>
      <c r="O539" s="58">
        <v>612</v>
      </c>
      <c r="AO539" s="56" t="s">
        <v>710</v>
      </c>
      <c r="AP539" s="187" t="s">
        <v>523</v>
      </c>
      <c r="AQ539" s="57">
        <v>510</v>
      </c>
      <c r="AR539" s="57">
        <v>1730.94</v>
      </c>
      <c r="AS539" s="58">
        <v>612</v>
      </c>
    </row>
    <row r="540" spans="11:45">
      <c r="K540" s="56" t="s">
        <v>711</v>
      </c>
      <c r="L540" s="187" t="s">
        <v>523</v>
      </c>
      <c r="M540" s="57">
        <v>510</v>
      </c>
      <c r="N540" s="57">
        <v>1727.88</v>
      </c>
      <c r="O540" s="58">
        <v>660.96</v>
      </c>
      <c r="AO540" s="56" t="s">
        <v>711</v>
      </c>
      <c r="AP540" s="187" t="s">
        <v>523</v>
      </c>
      <c r="AQ540" s="57">
        <v>510</v>
      </c>
      <c r="AR540" s="57">
        <v>1727.88</v>
      </c>
      <c r="AS540" s="58">
        <v>660.96</v>
      </c>
    </row>
    <row r="541" spans="11:45">
      <c r="K541" s="56" t="s">
        <v>712</v>
      </c>
      <c r="L541" s="187" t="s">
        <v>527</v>
      </c>
      <c r="M541" s="57">
        <v>482</v>
      </c>
      <c r="N541" s="57">
        <v>1658.5620000000001</v>
      </c>
      <c r="O541" s="58">
        <v>533.57400000000007</v>
      </c>
      <c r="AO541" s="56" t="s">
        <v>712</v>
      </c>
      <c r="AP541" s="187" t="s">
        <v>527</v>
      </c>
      <c r="AQ541" s="57">
        <v>482</v>
      </c>
      <c r="AR541" s="57">
        <v>1658.5620000000001</v>
      </c>
      <c r="AS541" s="58">
        <v>533.57400000000007</v>
      </c>
    </row>
    <row r="542" spans="11:45">
      <c r="K542" s="56" t="s">
        <v>713</v>
      </c>
      <c r="L542" s="187" t="s">
        <v>527</v>
      </c>
      <c r="M542" s="57">
        <v>482</v>
      </c>
      <c r="N542" s="57">
        <v>1661.454</v>
      </c>
      <c r="O542" s="58">
        <v>578.4</v>
      </c>
      <c r="AO542" s="56" t="s">
        <v>713</v>
      </c>
      <c r="AP542" s="187" t="s">
        <v>527</v>
      </c>
      <c r="AQ542" s="57">
        <v>482</v>
      </c>
      <c r="AR542" s="57">
        <v>1661.454</v>
      </c>
      <c r="AS542" s="58">
        <v>578.4</v>
      </c>
    </row>
    <row r="543" spans="11:45">
      <c r="K543" s="56" t="s">
        <v>714</v>
      </c>
      <c r="L543" s="187" t="s">
        <v>527</v>
      </c>
      <c r="M543" s="57">
        <v>482</v>
      </c>
      <c r="N543" s="57">
        <v>1658.5620000000001</v>
      </c>
      <c r="O543" s="58">
        <v>623.22600000000011</v>
      </c>
      <c r="AO543" s="56" t="s">
        <v>714</v>
      </c>
      <c r="AP543" s="187" t="s">
        <v>527</v>
      </c>
      <c r="AQ543" s="57">
        <v>482</v>
      </c>
      <c r="AR543" s="57">
        <v>1658.5620000000001</v>
      </c>
      <c r="AS543" s="58">
        <v>623.22600000000011</v>
      </c>
    </row>
    <row r="544" spans="11:45">
      <c r="K544" s="56" t="s">
        <v>715</v>
      </c>
      <c r="L544" s="187" t="s">
        <v>716</v>
      </c>
      <c r="M544" s="57">
        <v>964</v>
      </c>
      <c r="N544" s="57">
        <v>3320.0159999999996</v>
      </c>
      <c r="O544" s="58">
        <v>1111.9739999999999</v>
      </c>
      <c r="AO544" s="56" t="s">
        <v>715</v>
      </c>
      <c r="AP544" s="187" t="s">
        <v>716</v>
      </c>
      <c r="AQ544" s="57">
        <v>964</v>
      </c>
      <c r="AR544" s="57">
        <v>3320.0159999999996</v>
      </c>
      <c r="AS544" s="58">
        <v>1111.9739999999999</v>
      </c>
    </row>
    <row r="545" spans="11:45">
      <c r="K545" s="56" t="s">
        <v>717</v>
      </c>
      <c r="L545" s="187" t="s">
        <v>716</v>
      </c>
      <c r="M545" s="57">
        <v>964</v>
      </c>
      <c r="N545" s="57">
        <v>3317.1240000000003</v>
      </c>
      <c r="O545" s="58">
        <v>1156.8</v>
      </c>
      <c r="AO545" s="56" t="s">
        <v>717</v>
      </c>
      <c r="AP545" s="187" t="s">
        <v>716</v>
      </c>
      <c r="AQ545" s="57">
        <v>964</v>
      </c>
      <c r="AR545" s="57">
        <v>3317.1240000000003</v>
      </c>
      <c r="AS545" s="58">
        <v>1156.8</v>
      </c>
    </row>
    <row r="546" spans="11:45">
      <c r="K546" s="56" t="s">
        <v>718</v>
      </c>
      <c r="L546" s="187" t="s">
        <v>716</v>
      </c>
      <c r="M546" s="57">
        <v>964</v>
      </c>
      <c r="N546" s="57">
        <v>3320.0159999999996</v>
      </c>
      <c r="O546" s="58">
        <v>1201.626</v>
      </c>
      <c r="AO546" s="56" t="s">
        <v>718</v>
      </c>
      <c r="AP546" s="187" t="s">
        <v>716</v>
      </c>
      <c r="AQ546" s="57">
        <v>964</v>
      </c>
      <c r="AR546" s="57">
        <v>3320.0159999999996</v>
      </c>
      <c r="AS546" s="58">
        <v>1201.626</v>
      </c>
    </row>
    <row r="547" spans="11:45">
      <c r="K547" s="56" t="s">
        <v>719</v>
      </c>
      <c r="L547" s="187" t="s">
        <v>720</v>
      </c>
      <c r="M547" s="57">
        <v>1446</v>
      </c>
      <c r="N547" s="57">
        <v>4978.5779999999995</v>
      </c>
      <c r="O547" s="58">
        <v>1735.2</v>
      </c>
      <c r="AO547" s="56" t="s">
        <v>719</v>
      </c>
      <c r="AP547" s="187" t="s">
        <v>720</v>
      </c>
      <c r="AQ547" s="57">
        <v>1446</v>
      </c>
      <c r="AR547" s="57">
        <v>4978.5779999999995</v>
      </c>
      <c r="AS547" s="58">
        <v>1735.2</v>
      </c>
    </row>
    <row r="548" spans="11:45">
      <c r="K548" s="56" t="s">
        <v>723</v>
      </c>
      <c r="L548" s="187" t="s">
        <v>724</v>
      </c>
      <c r="M548" s="57">
        <v>1240</v>
      </c>
      <c r="N548" s="57">
        <v>4180.04</v>
      </c>
      <c r="O548" s="58">
        <v>1548.14</v>
      </c>
      <c r="AO548" s="56" t="s">
        <v>723</v>
      </c>
      <c r="AP548" s="187" t="s">
        <v>724</v>
      </c>
      <c r="AQ548" s="57">
        <v>1240</v>
      </c>
      <c r="AR548" s="57">
        <v>4180.04</v>
      </c>
      <c r="AS548" s="58">
        <v>1548.14</v>
      </c>
    </row>
    <row r="549" spans="11:45">
      <c r="K549" s="56" t="s">
        <v>725</v>
      </c>
      <c r="L549" s="187" t="s">
        <v>726</v>
      </c>
      <c r="M549" s="57">
        <v>72</v>
      </c>
      <c r="N549" s="57">
        <v>239.97600000000003</v>
      </c>
      <c r="O549" s="58">
        <v>86.4</v>
      </c>
      <c r="AO549" s="56" t="s">
        <v>725</v>
      </c>
      <c r="AP549" s="187" t="s">
        <v>726</v>
      </c>
      <c r="AQ549" s="57">
        <v>72</v>
      </c>
      <c r="AR549" s="57">
        <v>239.97600000000003</v>
      </c>
      <c r="AS549" s="58">
        <v>86.4</v>
      </c>
    </row>
    <row r="550" spans="11:45">
      <c r="K550" s="56" t="s">
        <v>727</v>
      </c>
      <c r="L550" s="187" t="s">
        <v>581</v>
      </c>
      <c r="M550" s="57">
        <v>510</v>
      </c>
      <c r="N550" s="57">
        <v>1727.88</v>
      </c>
      <c r="O550" s="58">
        <v>563.04</v>
      </c>
      <c r="AO550" s="56" t="s">
        <v>727</v>
      </c>
      <c r="AP550" s="187" t="s">
        <v>581</v>
      </c>
      <c r="AQ550" s="57">
        <v>510</v>
      </c>
      <c r="AR550" s="57">
        <v>1727.88</v>
      </c>
      <c r="AS550" s="58">
        <v>563.04</v>
      </c>
    </row>
    <row r="551" spans="11:45">
      <c r="K551" s="56" t="s">
        <v>728</v>
      </c>
      <c r="L551" s="187" t="s">
        <v>581</v>
      </c>
      <c r="M551" s="57">
        <v>510</v>
      </c>
      <c r="N551" s="57">
        <v>1730.94</v>
      </c>
      <c r="O551" s="58">
        <v>612</v>
      </c>
      <c r="AO551" s="56" t="s">
        <v>728</v>
      </c>
      <c r="AP551" s="187" t="s">
        <v>581</v>
      </c>
      <c r="AQ551" s="57">
        <v>510</v>
      </c>
      <c r="AR551" s="57">
        <v>1730.94</v>
      </c>
      <c r="AS551" s="58">
        <v>612</v>
      </c>
    </row>
    <row r="552" spans="11:45">
      <c r="K552" s="56" t="s">
        <v>729</v>
      </c>
      <c r="L552" s="187" t="s">
        <v>581</v>
      </c>
      <c r="M552" s="57">
        <v>510</v>
      </c>
      <c r="N552" s="57">
        <v>1727.88</v>
      </c>
      <c r="O552" s="58">
        <v>660.96</v>
      </c>
      <c r="AO552" s="56" t="s">
        <v>729</v>
      </c>
      <c r="AP552" s="187" t="s">
        <v>581</v>
      </c>
      <c r="AQ552" s="57">
        <v>510</v>
      </c>
      <c r="AR552" s="57">
        <v>1727.88</v>
      </c>
      <c r="AS552" s="58">
        <v>660.96</v>
      </c>
    </row>
    <row r="553" spans="11:45">
      <c r="K553" s="56" t="s">
        <v>730</v>
      </c>
      <c r="L553" s="187" t="s">
        <v>731</v>
      </c>
      <c r="M553" s="57">
        <v>1020</v>
      </c>
      <c r="N553" s="57">
        <v>3458.82</v>
      </c>
      <c r="O553" s="58">
        <v>1175.04</v>
      </c>
      <c r="AO553" s="56" t="s">
        <v>730</v>
      </c>
      <c r="AP553" s="187" t="s">
        <v>731</v>
      </c>
      <c r="AQ553" s="57">
        <v>1020</v>
      </c>
      <c r="AR553" s="57">
        <v>3458.82</v>
      </c>
      <c r="AS553" s="58">
        <v>1175.04</v>
      </c>
    </row>
    <row r="554" spans="11:45">
      <c r="K554" s="56" t="s">
        <v>732</v>
      </c>
      <c r="L554" s="187" t="s">
        <v>731</v>
      </c>
      <c r="M554" s="57">
        <v>1020</v>
      </c>
      <c r="N554" s="57">
        <v>3455.76</v>
      </c>
      <c r="O554" s="58">
        <v>1224</v>
      </c>
      <c r="AO554" s="56" t="s">
        <v>732</v>
      </c>
      <c r="AP554" s="187" t="s">
        <v>731</v>
      </c>
      <c r="AQ554" s="57">
        <v>1020</v>
      </c>
      <c r="AR554" s="57">
        <v>3455.76</v>
      </c>
      <c r="AS554" s="58">
        <v>1224</v>
      </c>
    </row>
    <row r="555" spans="11:45">
      <c r="K555" s="56" t="s">
        <v>733</v>
      </c>
      <c r="L555" s="187" t="s">
        <v>731</v>
      </c>
      <c r="M555" s="57">
        <v>1020</v>
      </c>
      <c r="N555" s="57">
        <v>3458.82</v>
      </c>
      <c r="O555" s="58">
        <v>1272.96</v>
      </c>
      <c r="AO555" s="56" t="s">
        <v>733</v>
      </c>
      <c r="AP555" s="187" t="s">
        <v>731</v>
      </c>
      <c r="AQ555" s="57">
        <v>1020</v>
      </c>
      <c r="AR555" s="57">
        <v>3458.82</v>
      </c>
      <c r="AS555" s="58">
        <v>1272.96</v>
      </c>
    </row>
    <row r="556" spans="11:45">
      <c r="K556" s="56" t="s">
        <v>734</v>
      </c>
      <c r="L556" s="187" t="s">
        <v>735</v>
      </c>
      <c r="M556" s="57">
        <v>1530</v>
      </c>
      <c r="N556" s="57">
        <v>5187.0059999999994</v>
      </c>
      <c r="O556" s="58">
        <v>1836</v>
      </c>
      <c r="AO556" s="56" t="s">
        <v>734</v>
      </c>
      <c r="AP556" s="187" t="s">
        <v>735</v>
      </c>
      <c r="AQ556" s="57">
        <v>1530</v>
      </c>
      <c r="AR556" s="57">
        <v>5187.0059999999994</v>
      </c>
      <c r="AS556" s="58">
        <v>1836</v>
      </c>
    </row>
    <row r="557" spans="11:45">
      <c r="K557" s="56" t="s">
        <v>736</v>
      </c>
      <c r="L557" s="187" t="s">
        <v>599</v>
      </c>
      <c r="M557" s="57">
        <v>78</v>
      </c>
      <c r="N557" s="57">
        <v>269.41199999999998</v>
      </c>
      <c r="O557" s="58">
        <v>93.6</v>
      </c>
      <c r="AO557" s="56" t="s">
        <v>736</v>
      </c>
      <c r="AP557" s="187" t="s">
        <v>599</v>
      </c>
      <c r="AQ557" s="57">
        <v>78</v>
      </c>
      <c r="AR557" s="57">
        <v>269.41199999999998</v>
      </c>
      <c r="AS557" s="58">
        <v>93.6</v>
      </c>
    </row>
    <row r="558" spans="11:45">
      <c r="K558" s="56" t="s">
        <v>737</v>
      </c>
      <c r="L558" s="187" t="s">
        <v>599</v>
      </c>
      <c r="M558" s="57">
        <v>78</v>
      </c>
      <c r="N558" s="57">
        <v>268.86599999999999</v>
      </c>
      <c r="O558" s="58">
        <v>102.41400000000002</v>
      </c>
      <c r="AO558" s="56" t="s">
        <v>737</v>
      </c>
      <c r="AP558" s="187" t="s">
        <v>599</v>
      </c>
      <c r="AQ558" s="57">
        <v>78</v>
      </c>
      <c r="AR558" s="57">
        <v>268.86599999999999</v>
      </c>
      <c r="AS558" s="58">
        <v>102.41400000000002</v>
      </c>
    </row>
  </sheetData>
  <sortState ref="K85:K86">
    <sortCondition descending="1" ref="K85"/>
  </sortState>
  <dataConsolidate/>
  <mergeCells count="34">
    <mergeCell ref="BM1:BQ1"/>
    <mergeCell ref="BH1:BL1"/>
    <mergeCell ref="AJ1:AN1"/>
    <mergeCell ref="A200:E200"/>
    <mergeCell ref="F200:J200"/>
    <mergeCell ref="K200:O200"/>
    <mergeCell ref="P200:T200"/>
    <mergeCell ref="U200:Y200"/>
    <mergeCell ref="AY200:BC200"/>
    <mergeCell ref="Z200:AD200"/>
    <mergeCell ref="AE200:AI200"/>
    <mergeCell ref="AJ200:AN200"/>
    <mergeCell ref="AO200:AS200"/>
    <mergeCell ref="AT200:AX200"/>
    <mergeCell ref="BD1:BG1"/>
    <mergeCell ref="A1:E1"/>
    <mergeCell ref="AT1:AX1"/>
    <mergeCell ref="AY1:BC1"/>
    <mergeCell ref="F1:J1"/>
    <mergeCell ref="K1:O1"/>
    <mergeCell ref="P1:T1"/>
    <mergeCell ref="Z1:AD1"/>
    <mergeCell ref="AO1:AS1"/>
    <mergeCell ref="A501:E501"/>
    <mergeCell ref="F501:J501"/>
    <mergeCell ref="K501:O501"/>
    <mergeCell ref="P501:T501"/>
    <mergeCell ref="U501:Y501"/>
    <mergeCell ref="AY501:BC501"/>
    <mergeCell ref="Z501:AD501"/>
    <mergeCell ref="AE501:AI501"/>
    <mergeCell ref="AJ501:AN501"/>
    <mergeCell ref="AO501:AS501"/>
    <mergeCell ref="AT501:AX50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"/>
  <dimension ref="A1:C35"/>
  <sheetViews>
    <sheetView workbookViewId="0">
      <selection activeCell="A35" sqref="A35"/>
    </sheetView>
  </sheetViews>
  <sheetFormatPr defaultRowHeight="15"/>
  <cols>
    <col min="1" max="1" width="9.140625" style="180"/>
    <col min="2" max="2" width="12.42578125" style="45" customWidth="1"/>
    <col min="3" max="3" width="12.42578125" style="235" customWidth="1"/>
  </cols>
  <sheetData>
    <row r="1" spans="1:3" ht="15.75" thickBot="1">
      <c r="A1" s="231" t="s">
        <v>88</v>
      </c>
      <c r="B1" s="238" t="s">
        <v>149</v>
      </c>
      <c r="C1" s="239" t="s">
        <v>185</v>
      </c>
    </row>
    <row r="2" spans="1:3">
      <c r="A2" s="232" t="s">
        <v>96</v>
      </c>
      <c r="B2" s="236" t="s">
        <v>178</v>
      </c>
      <c r="C2" s="237">
        <f>MATCH(B2,Aircraft!$A$2:$A$9)</f>
        <v>2</v>
      </c>
    </row>
    <row r="3" spans="1:3">
      <c r="A3" s="233" t="s">
        <v>97</v>
      </c>
      <c r="B3" s="118" t="s">
        <v>177</v>
      </c>
      <c r="C3" s="234">
        <f>MATCH(B3,Aircraft!$A$2:$A$9)</f>
        <v>1</v>
      </c>
    </row>
    <row r="4" spans="1:3">
      <c r="A4" s="233" t="s">
        <v>98</v>
      </c>
      <c r="B4" s="118" t="s">
        <v>177</v>
      </c>
      <c r="C4" s="234">
        <f>MATCH(B4,Aircraft!$A$2:$A$9)</f>
        <v>1</v>
      </c>
    </row>
    <row r="5" spans="1:3">
      <c r="A5" s="233" t="s">
        <v>100</v>
      </c>
      <c r="B5" s="118" t="s">
        <v>179</v>
      </c>
      <c r="C5" s="234">
        <f>MATCH(B5,Aircraft!$A$2:$A$9)</f>
        <v>3</v>
      </c>
    </row>
    <row r="6" spans="1:3">
      <c r="A6" s="233" t="s">
        <v>101</v>
      </c>
      <c r="B6" s="118" t="s">
        <v>179</v>
      </c>
      <c r="C6" s="234">
        <f>MATCH(B6,Aircraft!$A$2:$A$9)</f>
        <v>3</v>
      </c>
    </row>
    <row r="7" spans="1:3">
      <c r="A7" s="233" t="s">
        <v>99</v>
      </c>
      <c r="B7" s="118" t="s">
        <v>179</v>
      </c>
      <c r="C7" s="234">
        <f>MATCH(B7,Aircraft!$A$2:$A$9)</f>
        <v>3</v>
      </c>
    </row>
    <row r="8" spans="1:3">
      <c r="A8" s="233" t="s">
        <v>102</v>
      </c>
      <c r="B8" s="118" t="s">
        <v>179</v>
      </c>
      <c r="C8" s="234">
        <f>MATCH(B8,Aircraft!$A$2:$A$9)</f>
        <v>3</v>
      </c>
    </row>
    <row r="9" spans="1:3">
      <c r="A9" s="233" t="s">
        <v>103</v>
      </c>
      <c r="B9" s="118" t="s">
        <v>179</v>
      </c>
      <c r="C9" s="234">
        <f>MATCH(B9,Aircraft!$A$2:$A$9)</f>
        <v>3</v>
      </c>
    </row>
    <row r="10" spans="1:3">
      <c r="A10" s="233" t="s">
        <v>104</v>
      </c>
      <c r="B10" s="118" t="s">
        <v>179</v>
      </c>
      <c r="C10" s="234">
        <f>MATCH(B10,Aircraft!$A$2:$A$9)</f>
        <v>3</v>
      </c>
    </row>
    <row r="11" spans="1:3">
      <c r="A11" s="233" t="s">
        <v>105</v>
      </c>
      <c r="B11" s="118" t="s">
        <v>180</v>
      </c>
      <c r="C11" s="234">
        <f>MATCH(B11,Aircraft!$A$2:$A$9)</f>
        <v>6</v>
      </c>
    </row>
    <row r="12" spans="1:3">
      <c r="A12" s="233" t="s">
        <v>106</v>
      </c>
      <c r="B12" s="118" t="s">
        <v>180</v>
      </c>
      <c r="C12" s="234">
        <f>MATCH(B12,Aircraft!$A$2:$A$9)</f>
        <v>6</v>
      </c>
    </row>
    <row r="13" spans="1:3">
      <c r="A13" s="233" t="s">
        <v>107</v>
      </c>
      <c r="B13" s="118" t="s">
        <v>179</v>
      </c>
      <c r="C13" s="234">
        <f>MATCH(B13,Aircraft!$A$2:$A$9)</f>
        <v>3</v>
      </c>
    </row>
    <row r="14" spans="1:3">
      <c r="A14" s="233" t="s">
        <v>108</v>
      </c>
      <c r="B14" s="118" t="s">
        <v>179</v>
      </c>
      <c r="C14" s="234">
        <f>MATCH(B14,Aircraft!$A$2:$A$9)</f>
        <v>3</v>
      </c>
    </row>
    <row r="15" spans="1:3">
      <c r="A15" s="233" t="s">
        <v>109</v>
      </c>
      <c r="B15" s="118" t="s">
        <v>180</v>
      </c>
      <c r="C15" s="234">
        <f>MATCH(B15,Aircraft!$A$2:$A$9)</f>
        <v>6</v>
      </c>
    </row>
    <row r="16" spans="1:3">
      <c r="A16" s="233" t="s">
        <v>110</v>
      </c>
      <c r="B16" s="118" t="s">
        <v>179</v>
      </c>
      <c r="C16" s="234">
        <f>MATCH(B16,Aircraft!$A$2:$A$9)</f>
        <v>3</v>
      </c>
    </row>
    <row r="17" spans="1:3">
      <c r="A17" s="233" t="s">
        <v>111</v>
      </c>
      <c r="B17" s="118" t="s">
        <v>180</v>
      </c>
      <c r="C17" s="234">
        <f>MATCH(B17,Aircraft!$A$2:$A$9)</f>
        <v>6</v>
      </c>
    </row>
    <row r="18" spans="1:3">
      <c r="A18" s="233" t="s">
        <v>112</v>
      </c>
      <c r="B18" s="118" t="s">
        <v>180</v>
      </c>
      <c r="C18" s="234">
        <f>MATCH(B18,Aircraft!$A$2:$A$9)</f>
        <v>6</v>
      </c>
    </row>
    <row r="19" spans="1:3">
      <c r="A19" s="233" t="s">
        <v>113</v>
      </c>
      <c r="B19" s="118" t="s">
        <v>180</v>
      </c>
      <c r="C19" s="234">
        <f>MATCH(B19,Aircraft!$A$2:$A$9)</f>
        <v>6</v>
      </c>
    </row>
    <row r="20" spans="1:3">
      <c r="A20" s="233" t="s">
        <v>114</v>
      </c>
      <c r="B20" s="118" t="s">
        <v>180</v>
      </c>
      <c r="C20" s="234">
        <f>MATCH(B20,Aircraft!$A$2:$A$9)</f>
        <v>6</v>
      </c>
    </row>
    <row r="21" spans="1:3">
      <c r="A21" s="233" t="s">
        <v>115</v>
      </c>
      <c r="B21" s="118" t="s">
        <v>180</v>
      </c>
      <c r="C21" s="234">
        <f>MATCH(B21,Aircraft!$A$2:$A$9)</f>
        <v>6</v>
      </c>
    </row>
    <row r="22" spans="1:3">
      <c r="A22" s="233" t="s">
        <v>116</v>
      </c>
      <c r="B22" s="118" t="s">
        <v>180</v>
      </c>
      <c r="C22" s="234">
        <f>MATCH(B22,Aircraft!$A$2:$A$9)</f>
        <v>6</v>
      </c>
    </row>
    <row r="23" spans="1:3">
      <c r="A23" s="233" t="s">
        <v>117</v>
      </c>
      <c r="B23" s="118" t="s">
        <v>183</v>
      </c>
      <c r="C23" s="234">
        <f>MATCH(B23,Aircraft!$A$2:$A$9)</f>
        <v>7</v>
      </c>
    </row>
    <row r="24" spans="1:3">
      <c r="A24" s="233" t="s">
        <v>118</v>
      </c>
      <c r="B24" s="118" t="s">
        <v>181</v>
      </c>
      <c r="C24" s="234">
        <f>MATCH(B24,Aircraft!$A$2:$A$9)</f>
        <v>4</v>
      </c>
    </row>
    <row r="25" spans="1:3">
      <c r="A25" s="233" t="s">
        <v>119</v>
      </c>
      <c r="B25" s="118" t="s">
        <v>181</v>
      </c>
      <c r="C25" s="234">
        <f>MATCH(B25,Aircraft!$A$2:$A$9)</f>
        <v>4</v>
      </c>
    </row>
    <row r="26" spans="1:3">
      <c r="A26" s="233" t="s">
        <v>120</v>
      </c>
      <c r="B26" s="118" t="s">
        <v>179</v>
      </c>
      <c r="C26" s="234">
        <f>MATCH(B26,Aircraft!$A$2:$A$9)</f>
        <v>3</v>
      </c>
    </row>
    <row r="27" spans="1:3">
      <c r="A27" s="233" t="s">
        <v>121</v>
      </c>
      <c r="B27" s="118" t="s">
        <v>180</v>
      </c>
      <c r="C27" s="234">
        <f>MATCH(B27,Aircraft!$A$2:$A$9)</f>
        <v>6</v>
      </c>
    </row>
    <row r="28" spans="1:3">
      <c r="A28" s="233" t="s">
        <v>122</v>
      </c>
      <c r="B28" s="118" t="s">
        <v>180</v>
      </c>
      <c r="C28" s="234">
        <f>MATCH(B28,Aircraft!$A$2:$A$9)</f>
        <v>6</v>
      </c>
    </row>
    <row r="29" spans="1:3">
      <c r="A29" s="233" t="s">
        <v>123</v>
      </c>
      <c r="B29" s="118" t="s">
        <v>180</v>
      </c>
      <c r="C29" s="234">
        <f>MATCH(B29,Aircraft!$A$2:$A$9)</f>
        <v>6</v>
      </c>
    </row>
    <row r="30" spans="1:3">
      <c r="A30" s="233" t="s">
        <v>124</v>
      </c>
      <c r="B30" s="118" t="s">
        <v>184</v>
      </c>
      <c r="C30" s="234">
        <f>MATCH(B30,Aircraft!$A$2:$A$9)</f>
        <v>8</v>
      </c>
    </row>
    <row r="31" spans="1:3">
      <c r="A31" s="233" t="s">
        <v>126</v>
      </c>
      <c r="B31" s="118" t="s">
        <v>182</v>
      </c>
      <c r="C31" s="234">
        <f>MATCH(B31,Aircraft!$A$2:$A$9)</f>
        <v>5</v>
      </c>
    </row>
    <row r="32" spans="1:3">
      <c r="A32" s="233" t="s">
        <v>125</v>
      </c>
      <c r="B32" s="118" t="s">
        <v>184</v>
      </c>
      <c r="C32" s="234">
        <f>MATCH(B32,Aircraft!$A$2:$A$9)</f>
        <v>8</v>
      </c>
    </row>
    <row r="33" spans="1:3">
      <c r="A33" s="233" t="s">
        <v>127</v>
      </c>
      <c r="B33" s="118" t="s">
        <v>178</v>
      </c>
      <c r="C33" s="234">
        <f>MATCH(B33,Aircraft!$A$2:$A$9)</f>
        <v>2</v>
      </c>
    </row>
    <row r="34" spans="1:3">
      <c r="A34" s="47" t="s">
        <v>298</v>
      </c>
      <c r="B34" s="118" t="s">
        <v>177</v>
      </c>
      <c r="C34" s="234">
        <f>MATCH(B34,Aircraft!$A$2:$A$9)</f>
        <v>1</v>
      </c>
    </row>
    <row r="35" spans="1:3">
      <c r="B35" s="118"/>
      <c r="C35" s="2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1"/>
  <dimension ref="A1:O31"/>
  <sheetViews>
    <sheetView workbookViewId="0">
      <selection activeCell="L12" sqref="L12"/>
    </sheetView>
  </sheetViews>
  <sheetFormatPr defaultRowHeight="11.25"/>
  <cols>
    <col min="1" max="1" width="9.140625" style="121"/>
    <col min="2" max="4" width="9.140625" style="118"/>
    <col min="5" max="5" width="9.140625" style="46"/>
    <col min="6" max="6" width="9.140625" style="59"/>
    <col min="7" max="7" width="17.140625" style="47" customWidth="1"/>
    <col min="8" max="8" width="9.140625" style="46"/>
    <col min="9" max="9" width="9.140625" style="59"/>
    <col min="10" max="14" width="9.140625" style="13"/>
    <col min="15" max="15" width="9.140625" style="12"/>
    <col min="16" max="16384" width="9.140625" style="13"/>
  </cols>
  <sheetData>
    <row r="1" spans="1:11" ht="34.5" thickBot="1">
      <c r="A1" s="119" t="s">
        <v>186</v>
      </c>
      <c r="B1" s="142" t="s">
        <v>189</v>
      </c>
      <c r="C1" s="142" t="s">
        <v>190</v>
      </c>
      <c r="D1" s="142" t="s">
        <v>187</v>
      </c>
      <c r="E1" s="142" t="s">
        <v>188</v>
      </c>
      <c r="F1" s="373" t="s">
        <v>384</v>
      </c>
      <c r="G1" s="119" t="s">
        <v>212</v>
      </c>
      <c r="H1" s="142" t="s">
        <v>4</v>
      </c>
      <c r="I1" s="120" t="s">
        <v>76</v>
      </c>
      <c r="K1" s="13" t="s">
        <v>748</v>
      </c>
    </row>
    <row r="2" spans="1:11">
      <c r="A2" s="103">
        <v>300</v>
      </c>
      <c r="B2" s="141">
        <v>2040</v>
      </c>
      <c r="C2" s="141">
        <v>6520</v>
      </c>
      <c r="D2" s="141">
        <v>0</v>
      </c>
      <c r="E2" s="141">
        <v>0</v>
      </c>
      <c r="F2" s="105">
        <v>0</v>
      </c>
      <c r="G2" s="103" t="s">
        <v>216</v>
      </c>
      <c r="H2" s="104">
        <v>-632</v>
      </c>
      <c r="I2" s="408">
        <v>-2020</v>
      </c>
      <c r="K2" s="13">
        <v>319.64</v>
      </c>
    </row>
    <row r="3" spans="1:11">
      <c r="A3" s="335">
        <v>370</v>
      </c>
      <c r="B3" s="140">
        <v>2516</v>
      </c>
      <c r="C3" s="140">
        <v>7566.5</v>
      </c>
      <c r="D3" s="140">
        <v>802.5</v>
      </c>
      <c r="E3" s="140">
        <v>1905</v>
      </c>
      <c r="F3" s="59">
        <v>1786.36</v>
      </c>
      <c r="G3" s="409" t="s">
        <v>218</v>
      </c>
      <c r="H3" s="410">
        <v>-712</v>
      </c>
      <c r="I3" s="411">
        <f>IF(Calculations!$AX$15, Fuels!H3*K2/100, -2214)</f>
        <v>-2275.8368</v>
      </c>
    </row>
    <row r="4" spans="1:11">
      <c r="G4" s="47" t="s">
        <v>214</v>
      </c>
      <c r="H4" s="46">
        <v>-590</v>
      </c>
      <c r="I4" s="59">
        <v>-1866</v>
      </c>
    </row>
    <row r="5" spans="1:11">
      <c r="G5" s="47" t="s">
        <v>213</v>
      </c>
      <c r="H5" s="46">
        <v>-506</v>
      </c>
      <c r="I5" s="59">
        <v>-1771</v>
      </c>
    </row>
    <row r="6" spans="1:11">
      <c r="G6" s="47" t="s">
        <v>217</v>
      </c>
      <c r="H6" s="46">
        <v>-590</v>
      </c>
      <c r="I6" s="59">
        <v>-1834</v>
      </c>
    </row>
    <row r="7" spans="1:11">
      <c r="G7" s="47" t="s">
        <v>215</v>
      </c>
      <c r="H7" s="46">
        <v>-622</v>
      </c>
      <c r="I7" s="59">
        <v>-1988</v>
      </c>
    </row>
    <row r="8" spans="1:11">
      <c r="G8" s="409" t="s">
        <v>222</v>
      </c>
      <c r="H8" s="410">
        <v>-701</v>
      </c>
      <c r="I8" s="411">
        <f>IF(Calculations!$AX$15, Fuels!H8*K2/100, -2179)</f>
        <v>-2240.6763999999998</v>
      </c>
    </row>
    <row r="9" spans="1:11">
      <c r="G9" s="47" t="s">
        <v>220</v>
      </c>
      <c r="H9" s="46">
        <v>-580</v>
      </c>
      <c r="I9" s="59">
        <v>-1854</v>
      </c>
    </row>
    <row r="10" spans="1:11">
      <c r="G10" s="47" t="s">
        <v>219</v>
      </c>
      <c r="H10" s="46">
        <v>-506</v>
      </c>
      <c r="I10" s="59">
        <v>-1771</v>
      </c>
    </row>
    <row r="11" spans="1:11">
      <c r="G11" s="47" t="s">
        <v>221</v>
      </c>
      <c r="H11" s="46">
        <v>-580</v>
      </c>
      <c r="I11" s="59">
        <v>-1803</v>
      </c>
    </row>
    <row r="12" spans="1:11">
      <c r="G12" s="47" t="s">
        <v>226</v>
      </c>
      <c r="H12" s="46">
        <v>-632</v>
      </c>
      <c r="I12" s="59">
        <v>-2020</v>
      </c>
    </row>
    <row r="13" spans="1:11">
      <c r="G13" s="409" t="s">
        <v>227</v>
      </c>
      <c r="H13" s="410">
        <v>-712</v>
      </c>
      <c r="I13" s="411">
        <f>IF(Calculations!$AX$15, Fuels!H13*K2/100, -2214)</f>
        <v>-2275.8368</v>
      </c>
    </row>
    <row r="14" spans="1:11">
      <c r="G14" s="47" t="s">
        <v>224</v>
      </c>
      <c r="H14" s="46">
        <v>-590</v>
      </c>
      <c r="I14" s="59">
        <v>-1866</v>
      </c>
    </row>
    <row r="15" spans="1:11">
      <c r="G15" s="47" t="s">
        <v>223</v>
      </c>
      <c r="H15" s="46">
        <v>-506</v>
      </c>
      <c r="I15" s="59">
        <v>-1771</v>
      </c>
    </row>
    <row r="16" spans="1:11">
      <c r="G16" s="47" t="s">
        <v>225</v>
      </c>
      <c r="H16" s="46">
        <v>-590</v>
      </c>
      <c r="I16" s="59">
        <v>-1834</v>
      </c>
    </row>
    <row r="17" spans="7:9">
      <c r="G17" s="47" t="s">
        <v>236</v>
      </c>
      <c r="H17" s="46">
        <v>-658</v>
      </c>
      <c r="I17" s="59">
        <v>-2103</v>
      </c>
    </row>
    <row r="18" spans="7:9">
      <c r="G18" s="409" t="s">
        <v>237</v>
      </c>
      <c r="H18" s="410">
        <v>-742</v>
      </c>
      <c r="I18" s="411">
        <f>IF(Calculations!$AX$15, Fuels!H18*K2/100, -2307)</f>
        <v>-2371.7287999999999</v>
      </c>
    </row>
    <row r="19" spans="7:9">
      <c r="G19" s="47" t="s">
        <v>234</v>
      </c>
      <c r="H19" s="46">
        <v>-617</v>
      </c>
      <c r="I19" s="59">
        <v>-1972</v>
      </c>
    </row>
    <row r="20" spans="7:9">
      <c r="G20" s="47" t="s">
        <v>233</v>
      </c>
      <c r="H20" s="46">
        <v>-506</v>
      </c>
      <c r="I20" s="59">
        <v>-1771</v>
      </c>
    </row>
    <row r="21" spans="7:9">
      <c r="G21" s="47" t="s">
        <v>235</v>
      </c>
      <c r="H21" s="46">
        <v>-617</v>
      </c>
      <c r="I21" s="59">
        <v>-1918</v>
      </c>
    </row>
    <row r="22" spans="7:9">
      <c r="G22" s="47" t="s">
        <v>231</v>
      </c>
      <c r="H22" s="46">
        <v>-622</v>
      </c>
      <c r="I22" s="59">
        <v>-1988</v>
      </c>
    </row>
    <row r="23" spans="7:9">
      <c r="G23" s="409" t="s">
        <v>232</v>
      </c>
      <c r="H23" s="410">
        <v>-701</v>
      </c>
      <c r="I23" s="411">
        <f>IF(Calculations!$AX$15, Fuels!H23*K2/100, -2179)</f>
        <v>-2240.6763999999998</v>
      </c>
    </row>
    <row r="24" spans="7:9">
      <c r="G24" s="47" t="s">
        <v>229</v>
      </c>
      <c r="H24" s="46">
        <v>-580</v>
      </c>
      <c r="I24" s="59">
        <v>-1854</v>
      </c>
    </row>
    <row r="25" spans="7:9">
      <c r="G25" s="47" t="s">
        <v>228</v>
      </c>
      <c r="H25" s="46">
        <v>-506</v>
      </c>
      <c r="I25" s="59">
        <v>-1771</v>
      </c>
    </row>
    <row r="26" spans="7:9">
      <c r="G26" s="47" t="s">
        <v>230</v>
      </c>
      <c r="H26" s="46">
        <v>-580</v>
      </c>
      <c r="I26" s="59">
        <v>-1803</v>
      </c>
    </row>
    <row r="27" spans="7:9">
      <c r="G27" s="47" t="s">
        <v>241</v>
      </c>
      <c r="H27" s="46">
        <v>-640</v>
      </c>
      <c r="I27" s="59">
        <v>-2045</v>
      </c>
    </row>
    <row r="28" spans="7:9">
      <c r="G28" s="409" t="s">
        <v>242</v>
      </c>
      <c r="H28" s="410">
        <v>-723</v>
      </c>
      <c r="I28" s="411">
        <f>IF(Calculations!$AX$15, Fuels!H28*K2/100, -2248)</f>
        <v>-2310.9971999999998</v>
      </c>
    </row>
    <row r="29" spans="7:9">
      <c r="G29" s="47" t="s">
        <v>239</v>
      </c>
      <c r="H29" s="46">
        <v>-602</v>
      </c>
      <c r="I29" s="59">
        <v>-1924</v>
      </c>
    </row>
    <row r="30" spans="7:9">
      <c r="G30" s="47" t="s">
        <v>238</v>
      </c>
      <c r="H30" s="46">
        <v>-506</v>
      </c>
      <c r="I30" s="59">
        <v>-1771</v>
      </c>
    </row>
    <row r="31" spans="7:9">
      <c r="G31" s="47" t="s">
        <v>240</v>
      </c>
      <c r="H31" s="46">
        <v>-602</v>
      </c>
      <c r="I31" s="59">
        <v>-1872</v>
      </c>
    </row>
  </sheetData>
  <sortState ref="X3:Y67">
    <sortCondition descending="1" ref="X3:X6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Z19"/>
  <sheetViews>
    <sheetView topLeftCell="F1" workbookViewId="0">
      <selection activeCell="F15" sqref="F15"/>
    </sheetView>
  </sheetViews>
  <sheetFormatPr defaultRowHeight="11.25"/>
  <cols>
    <col min="1" max="1" width="13.42578125" style="47" customWidth="1"/>
    <col min="2" max="11" width="9.140625" style="46"/>
    <col min="12" max="12" width="9.140625" style="59"/>
    <col min="13" max="13" width="9.140625" style="13"/>
    <col min="14" max="14" width="9.140625" style="47"/>
    <col min="15" max="21" width="9.140625" style="46"/>
    <col min="22" max="22" width="9.140625" style="59"/>
    <col min="23" max="23" width="9.140625" style="13"/>
    <col min="24" max="24" width="9.140625" style="291"/>
    <col min="25" max="25" width="9.140625" style="13"/>
    <col min="26" max="26" width="9.140625" style="291"/>
    <col min="27" max="16384" width="9.140625" style="13"/>
  </cols>
  <sheetData>
    <row r="1" spans="1:26" s="115" customFormat="1" ht="57" thickBot="1">
      <c r="A1" s="52" t="s">
        <v>149</v>
      </c>
      <c r="B1" s="50" t="s">
        <v>43</v>
      </c>
      <c r="C1" s="50" t="s">
        <v>136</v>
      </c>
      <c r="D1" s="50" t="s">
        <v>148</v>
      </c>
      <c r="E1" s="50" t="s">
        <v>89</v>
      </c>
      <c r="F1" s="50" t="s">
        <v>90</v>
      </c>
      <c r="G1" s="50" t="s">
        <v>91</v>
      </c>
      <c r="H1" s="50" t="s">
        <v>137</v>
      </c>
      <c r="I1" s="50" t="s">
        <v>138</v>
      </c>
      <c r="J1" s="50" t="s">
        <v>292</v>
      </c>
      <c r="K1" s="50" t="s">
        <v>293</v>
      </c>
      <c r="L1" s="51" t="s">
        <v>294</v>
      </c>
      <c r="N1" s="52" t="s">
        <v>152</v>
      </c>
      <c r="O1" s="50" t="s">
        <v>151</v>
      </c>
      <c r="P1" s="50" t="s">
        <v>164</v>
      </c>
      <c r="Q1" s="50" t="s">
        <v>161</v>
      </c>
      <c r="R1" s="50" t="s">
        <v>93</v>
      </c>
      <c r="S1" s="50" t="s">
        <v>92</v>
      </c>
      <c r="T1" s="50" t="s">
        <v>95</v>
      </c>
      <c r="U1" s="50" t="s">
        <v>94</v>
      </c>
      <c r="V1" s="51" t="s">
        <v>296</v>
      </c>
      <c r="X1" s="222" t="s">
        <v>3</v>
      </c>
      <c r="Z1" s="331" t="s">
        <v>321</v>
      </c>
    </row>
    <row r="2" spans="1:26">
      <c r="A2" s="209" t="s">
        <v>177</v>
      </c>
      <c r="B2" s="104">
        <v>7294</v>
      </c>
      <c r="C2" s="104">
        <v>23166</v>
      </c>
      <c r="D2" s="104">
        <v>-175</v>
      </c>
      <c r="E2" s="104">
        <v>35400</v>
      </c>
      <c r="F2" s="104">
        <v>35400</v>
      </c>
      <c r="G2" s="104">
        <v>3002</v>
      </c>
      <c r="H2" s="104">
        <f>'Int Fuel'!B14</f>
        <v>1934</v>
      </c>
      <c r="I2" s="104">
        <f>'Int Fuel'!B15</f>
        <v>6274</v>
      </c>
      <c r="J2" s="104">
        <v>3217</v>
      </c>
      <c r="K2" s="104">
        <f>'Int Fuel'!B10</f>
        <v>5966</v>
      </c>
      <c r="L2" s="105">
        <f>'Int Fuel'!B11</f>
        <v>18423</v>
      </c>
      <c r="N2" s="103" t="s">
        <v>159</v>
      </c>
      <c r="O2" s="104" t="s">
        <v>156</v>
      </c>
      <c r="P2" s="104" t="b">
        <v>0</v>
      </c>
      <c r="Q2" s="104" t="str">
        <f t="shared" ref="Q2:Q17" si="0">CONCATENATE(N2," ",O2," ",P2)</f>
        <v>CAT I E FALSE</v>
      </c>
      <c r="R2" s="116">
        <v>0.25</v>
      </c>
      <c r="S2" s="116">
        <v>0.42499999999999999</v>
      </c>
      <c r="T2" s="116">
        <v>0.25</v>
      </c>
      <c r="U2" s="116">
        <v>0.41</v>
      </c>
      <c r="V2" s="117" t="b">
        <v>1</v>
      </c>
      <c r="X2" s="288">
        <v>1</v>
      </c>
      <c r="Z2" s="332" t="s">
        <v>154</v>
      </c>
    </row>
    <row r="3" spans="1:26">
      <c r="A3" s="121" t="s">
        <v>178</v>
      </c>
      <c r="B3" s="46">
        <v>6052</v>
      </c>
      <c r="C3" s="46">
        <v>20619</v>
      </c>
      <c r="D3" s="46">
        <v>-175</v>
      </c>
      <c r="E3" s="46">
        <v>35400</v>
      </c>
      <c r="F3" s="46">
        <v>35400</v>
      </c>
      <c r="G3" s="46">
        <v>3002</v>
      </c>
      <c r="H3" s="46">
        <f>'Int Fuel'!B22</f>
        <v>6052</v>
      </c>
      <c r="I3" s="46">
        <f>'Int Fuel'!B23</f>
        <v>20619</v>
      </c>
      <c r="J3" s="46">
        <v>3532</v>
      </c>
      <c r="K3" s="46">
        <f>'Int Fuel'!B18</f>
        <v>0</v>
      </c>
      <c r="L3" s="59">
        <f>'Int Fuel'!B19</f>
        <v>0</v>
      </c>
      <c r="N3" s="47" t="s">
        <v>159</v>
      </c>
      <c r="O3" s="46" t="s">
        <v>156</v>
      </c>
      <c r="P3" s="46" t="b">
        <v>1</v>
      </c>
      <c r="Q3" s="46" t="str">
        <f t="shared" si="0"/>
        <v>CAT I E TRUE</v>
      </c>
      <c r="R3" s="220">
        <v>0.25</v>
      </c>
      <c r="S3" s="220">
        <v>0.42499999999999999</v>
      </c>
      <c r="T3" s="220">
        <v>0.25</v>
      </c>
      <c r="U3" s="220">
        <v>0.4</v>
      </c>
      <c r="V3" s="221" t="b">
        <v>1</v>
      </c>
      <c r="X3" s="289">
        <v>2</v>
      </c>
      <c r="Z3" s="291" t="s">
        <v>361</v>
      </c>
    </row>
    <row r="4" spans="1:26">
      <c r="A4" s="121" t="s">
        <v>179</v>
      </c>
      <c r="B4" s="46">
        <v>7294</v>
      </c>
      <c r="C4" s="46">
        <v>23166</v>
      </c>
      <c r="D4" s="46">
        <v>-175</v>
      </c>
      <c r="E4" s="46">
        <v>37500</v>
      </c>
      <c r="F4" s="46">
        <v>37500</v>
      </c>
      <c r="G4" s="46">
        <v>2989</v>
      </c>
      <c r="H4" s="46">
        <f>'Int Fuel'!B14</f>
        <v>1934</v>
      </c>
      <c r="I4" s="46">
        <f>'Int Fuel'!B15</f>
        <v>6274</v>
      </c>
      <c r="J4" s="46">
        <v>3217</v>
      </c>
      <c r="K4" s="46">
        <f>'Int Fuel'!B10</f>
        <v>5966</v>
      </c>
      <c r="L4" s="59">
        <f>'Int Fuel'!B11</f>
        <v>18423</v>
      </c>
      <c r="N4" s="47" t="s">
        <v>159</v>
      </c>
      <c r="O4" s="46" t="s">
        <v>153</v>
      </c>
      <c r="P4" s="46" t="b">
        <v>0</v>
      </c>
      <c r="Q4" s="46" t="str">
        <f t="shared" si="0"/>
        <v>CAT I L FALSE</v>
      </c>
      <c r="R4" s="220">
        <v>0.25</v>
      </c>
      <c r="S4" s="220">
        <v>0.42499999999999999</v>
      </c>
      <c r="T4" s="220">
        <v>0.25</v>
      </c>
      <c r="U4" s="220">
        <v>0.4</v>
      </c>
      <c r="V4" s="221" t="b">
        <v>1</v>
      </c>
      <c r="X4" s="289">
        <v>3</v>
      </c>
      <c r="Z4" s="291" t="s">
        <v>156</v>
      </c>
    </row>
    <row r="5" spans="1:26">
      <c r="A5" s="121" t="s">
        <v>181</v>
      </c>
      <c r="B5" s="46">
        <v>7162</v>
      </c>
      <c r="C5" s="46">
        <v>22609</v>
      </c>
      <c r="D5" s="46">
        <v>-214</v>
      </c>
      <c r="E5" s="46">
        <v>42300</v>
      </c>
      <c r="F5" s="46">
        <v>42300</v>
      </c>
      <c r="G5" s="46">
        <v>3002</v>
      </c>
      <c r="H5" s="46">
        <f>'Int Fuel'!B30</f>
        <v>1934</v>
      </c>
      <c r="I5" s="46">
        <f>'Int Fuel'!B31</f>
        <v>6274</v>
      </c>
      <c r="J5" s="46">
        <v>3198</v>
      </c>
      <c r="K5" s="46">
        <f>'Int Fuel'!B26</f>
        <v>5966</v>
      </c>
      <c r="L5" s="59">
        <f>'Int Fuel'!B27</f>
        <v>18423</v>
      </c>
      <c r="N5" s="47" t="s">
        <v>159</v>
      </c>
      <c r="O5" s="46" t="s">
        <v>153</v>
      </c>
      <c r="P5" s="46" t="b">
        <v>1</v>
      </c>
      <c r="Q5" s="46" t="str">
        <f t="shared" si="0"/>
        <v>CAT I L TRUE</v>
      </c>
      <c r="R5" s="220">
        <v>0.25</v>
      </c>
      <c r="S5" s="220">
        <v>0.42499999999999999</v>
      </c>
      <c r="T5" s="220">
        <v>0.25</v>
      </c>
      <c r="U5" s="220">
        <v>0.4</v>
      </c>
      <c r="V5" s="221" t="b">
        <v>1</v>
      </c>
      <c r="X5" s="289">
        <v>4</v>
      </c>
    </row>
    <row r="6" spans="1:26">
      <c r="A6" s="121" t="s">
        <v>182</v>
      </c>
      <c r="B6" s="46">
        <v>7162</v>
      </c>
      <c r="C6" s="46">
        <v>22609</v>
      </c>
      <c r="D6" s="46">
        <v>-214</v>
      </c>
      <c r="E6" s="46">
        <v>42300</v>
      </c>
      <c r="F6" s="46">
        <v>42300</v>
      </c>
      <c r="G6" s="46">
        <v>3002</v>
      </c>
      <c r="H6" s="46">
        <f>'Int Fuel'!B30</f>
        <v>1934</v>
      </c>
      <c r="I6" s="46">
        <f>'Int Fuel'!B31</f>
        <v>6274</v>
      </c>
      <c r="J6" s="46">
        <v>3198</v>
      </c>
      <c r="K6" s="46">
        <f>'Int Fuel'!B26</f>
        <v>5966</v>
      </c>
      <c r="L6" s="59">
        <f>'Int Fuel'!B27</f>
        <v>18423</v>
      </c>
      <c r="N6" s="47" t="s">
        <v>159</v>
      </c>
      <c r="O6" s="46" t="s">
        <v>155</v>
      </c>
      <c r="P6" s="46" t="b">
        <v>0</v>
      </c>
      <c r="Q6" s="46" t="str">
        <f t="shared" si="0"/>
        <v>CAT I LR FALSE</v>
      </c>
      <c r="R6" s="220">
        <v>0.25</v>
      </c>
      <c r="S6" s="220">
        <v>0.42499999999999999</v>
      </c>
      <c r="T6" s="220">
        <v>0.25</v>
      </c>
      <c r="U6" s="220">
        <v>0.38</v>
      </c>
      <c r="V6" s="221" t="b">
        <v>1</v>
      </c>
      <c r="X6" s="289">
        <v>5</v>
      </c>
    </row>
    <row r="7" spans="1:26">
      <c r="A7" s="121" t="s">
        <v>180</v>
      </c>
      <c r="B7" s="46">
        <v>5920</v>
      </c>
      <c r="C7" s="46">
        <v>20061</v>
      </c>
      <c r="D7" s="46">
        <v>-175</v>
      </c>
      <c r="E7" s="46">
        <v>37500</v>
      </c>
      <c r="F7" s="46">
        <v>37500</v>
      </c>
      <c r="G7" s="46">
        <v>2989</v>
      </c>
      <c r="H7" s="46">
        <f>'Int Fuel'!B22</f>
        <v>6052</v>
      </c>
      <c r="I7" s="46">
        <f>'Int Fuel'!B23</f>
        <v>20619</v>
      </c>
      <c r="J7" s="46">
        <v>3532</v>
      </c>
      <c r="K7" s="46">
        <f>'Int Fuel'!B18</f>
        <v>0</v>
      </c>
      <c r="L7" s="59">
        <f>'Int Fuel'!B19</f>
        <v>0</v>
      </c>
      <c r="N7" s="47" t="s">
        <v>159</v>
      </c>
      <c r="O7" s="46" t="s">
        <v>155</v>
      </c>
      <c r="P7" s="46" t="b">
        <v>1</v>
      </c>
      <c r="Q7" s="46" t="str">
        <f t="shared" si="0"/>
        <v>CAT I LR TRUE</v>
      </c>
      <c r="R7" s="220">
        <v>0.25</v>
      </c>
      <c r="S7" s="220">
        <v>0.42499999999999999</v>
      </c>
      <c r="T7" s="220">
        <v>0.25</v>
      </c>
      <c r="U7" s="220">
        <v>0.38</v>
      </c>
      <c r="V7" s="221" t="b">
        <v>1</v>
      </c>
      <c r="X7" s="289">
        <v>6</v>
      </c>
    </row>
    <row r="8" spans="1:26">
      <c r="A8" s="121" t="s">
        <v>183</v>
      </c>
      <c r="B8" s="46">
        <v>5920</v>
      </c>
      <c r="C8" s="46">
        <v>20061</v>
      </c>
      <c r="D8" s="46">
        <v>-214</v>
      </c>
      <c r="E8" s="46">
        <v>42300</v>
      </c>
      <c r="F8" s="46">
        <v>42300</v>
      </c>
      <c r="G8" s="46">
        <v>3002</v>
      </c>
      <c r="H8" s="46">
        <f>'Int Fuel'!B38</f>
        <v>5920</v>
      </c>
      <c r="I8" s="46">
        <f>'Int Fuel'!B39</f>
        <v>20061</v>
      </c>
      <c r="J8" s="46">
        <v>3532</v>
      </c>
      <c r="K8" s="46">
        <f>'Int Fuel'!B34</f>
        <v>0</v>
      </c>
      <c r="L8" s="59">
        <f>'Int Fuel'!B35</f>
        <v>0</v>
      </c>
      <c r="N8" s="47" t="s">
        <v>159</v>
      </c>
      <c r="O8" s="46" t="s">
        <v>154</v>
      </c>
      <c r="P8" s="46" t="b">
        <v>0</v>
      </c>
      <c r="Q8" s="46" t="str">
        <f t="shared" si="0"/>
        <v>CAT I R FALSE</v>
      </c>
      <c r="R8" s="220">
        <v>0.25</v>
      </c>
      <c r="S8" s="220">
        <v>0.42499999999999999</v>
      </c>
      <c r="T8" s="220">
        <v>0.25</v>
      </c>
      <c r="U8" s="220">
        <v>0.4</v>
      </c>
      <c r="V8" s="221" t="b">
        <v>1</v>
      </c>
      <c r="X8" s="289">
        <v>7</v>
      </c>
    </row>
    <row r="9" spans="1:26">
      <c r="A9" s="121" t="s">
        <v>184</v>
      </c>
      <c r="B9" s="46">
        <v>5920</v>
      </c>
      <c r="C9" s="46">
        <v>20061</v>
      </c>
      <c r="D9" s="46">
        <v>-214</v>
      </c>
      <c r="E9" s="46">
        <v>42300</v>
      </c>
      <c r="F9" s="46">
        <v>42300</v>
      </c>
      <c r="G9" s="46">
        <v>3002</v>
      </c>
      <c r="H9" s="46">
        <f>'Int Fuel'!B38</f>
        <v>5920</v>
      </c>
      <c r="I9" s="46">
        <f>'Int Fuel'!B39</f>
        <v>20061</v>
      </c>
      <c r="J9" s="46">
        <v>3532</v>
      </c>
      <c r="K9" s="46">
        <f>'Int Fuel'!B34</f>
        <v>0</v>
      </c>
      <c r="L9" s="59">
        <f>'Int Fuel'!B35</f>
        <v>0</v>
      </c>
      <c r="N9" s="47" t="s">
        <v>159</v>
      </c>
      <c r="O9" s="46" t="s">
        <v>154</v>
      </c>
      <c r="P9" s="46" t="b">
        <v>1</v>
      </c>
      <c r="Q9" s="46" t="str">
        <f t="shared" si="0"/>
        <v>CAT I R TRUE</v>
      </c>
      <c r="R9" s="220">
        <v>0.25</v>
      </c>
      <c r="S9" s="220">
        <v>0.42499999999999999</v>
      </c>
      <c r="T9" s="220">
        <v>0.25</v>
      </c>
      <c r="U9" s="220">
        <v>0.4</v>
      </c>
      <c r="V9" s="221" t="b">
        <v>1</v>
      </c>
      <c r="X9" s="289">
        <v>8</v>
      </c>
    </row>
    <row r="10" spans="1:26">
      <c r="A10" s="121"/>
      <c r="N10" s="47" t="s">
        <v>158</v>
      </c>
      <c r="O10" s="46" t="s">
        <v>156</v>
      </c>
      <c r="P10" s="46" t="b">
        <v>0</v>
      </c>
      <c r="Q10" s="46" t="str">
        <f t="shared" si="0"/>
        <v>CAT III E FALSE</v>
      </c>
      <c r="R10" s="220">
        <v>0.25</v>
      </c>
      <c r="S10" s="220">
        <v>0.42499999999999999</v>
      </c>
      <c r="T10" s="220">
        <v>0.25</v>
      </c>
      <c r="U10" s="220">
        <v>0.42</v>
      </c>
      <c r="V10" s="221" t="b">
        <v>0</v>
      </c>
      <c r="X10" s="289">
        <v>9</v>
      </c>
    </row>
    <row r="11" spans="1:26">
      <c r="A11" s="121"/>
      <c r="N11" s="47" t="s">
        <v>158</v>
      </c>
      <c r="O11" s="46" t="s">
        <v>156</v>
      </c>
      <c r="P11" s="46" t="b">
        <v>1</v>
      </c>
      <c r="Q11" s="46" t="str">
        <f t="shared" si="0"/>
        <v>CAT III E TRUE</v>
      </c>
      <c r="R11" s="220">
        <v>0.25</v>
      </c>
      <c r="S11" s="220">
        <v>0.42499999999999999</v>
      </c>
      <c r="T11" s="220">
        <v>0.25</v>
      </c>
      <c r="U11" s="220">
        <v>0.42</v>
      </c>
      <c r="V11" s="221" t="b">
        <v>0</v>
      </c>
      <c r="X11" s="290"/>
    </row>
    <row r="12" spans="1:26">
      <c r="N12" s="47" t="s">
        <v>158</v>
      </c>
      <c r="O12" s="46" t="s">
        <v>153</v>
      </c>
      <c r="P12" s="46" t="b">
        <v>0</v>
      </c>
      <c r="Q12" s="46" t="str">
        <f t="shared" si="0"/>
        <v>CAT III L FALSE</v>
      </c>
      <c r="R12" s="220">
        <v>0.25</v>
      </c>
      <c r="S12" s="220">
        <v>0.42499999999999999</v>
      </c>
      <c r="T12" s="220">
        <v>0.25</v>
      </c>
      <c r="U12" s="220">
        <v>0.41</v>
      </c>
      <c r="V12" s="221" t="b">
        <v>1</v>
      </c>
      <c r="X12" s="290"/>
    </row>
    <row r="13" spans="1:26">
      <c r="A13" s="121"/>
      <c r="N13" s="47" t="s">
        <v>158</v>
      </c>
      <c r="O13" s="46" t="s">
        <v>153</v>
      </c>
      <c r="P13" s="46" t="b">
        <v>1</v>
      </c>
      <c r="Q13" s="46" t="str">
        <f t="shared" si="0"/>
        <v>CAT III L TRUE</v>
      </c>
      <c r="R13" s="220">
        <v>0.25</v>
      </c>
      <c r="S13" s="220">
        <v>0.42499999999999999</v>
      </c>
      <c r="T13" s="220">
        <v>0.25</v>
      </c>
      <c r="U13" s="220">
        <v>0.41</v>
      </c>
      <c r="V13" s="221" t="b">
        <v>1</v>
      </c>
      <c r="X13" s="290"/>
    </row>
    <row r="14" spans="1:26">
      <c r="N14" s="47" t="s">
        <v>158</v>
      </c>
      <c r="O14" s="46" t="s">
        <v>155</v>
      </c>
      <c r="P14" s="46" t="b">
        <v>0</v>
      </c>
      <c r="Q14" s="46" t="str">
        <f t="shared" si="0"/>
        <v>CAT III LR FALSE</v>
      </c>
      <c r="R14" s="220">
        <v>0.25</v>
      </c>
      <c r="S14" s="220">
        <v>0.42499999999999999</v>
      </c>
      <c r="T14" s="220">
        <v>0.25</v>
      </c>
      <c r="U14" s="220">
        <v>0.39</v>
      </c>
      <c r="V14" s="221" t="b">
        <v>1</v>
      </c>
      <c r="X14" s="290"/>
    </row>
    <row r="15" spans="1:26">
      <c r="A15" s="121"/>
      <c r="N15" s="47" t="s">
        <v>158</v>
      </c>
      <c r="O15" s="46" t="s">
        <v>155</v>
      </c>
      <c r="P15" s="46" t="b">
        <v>1</v>
      </c>
      <c r="Q15" s="46" t="str">
        <f t="shared" si="0"/>
        <v>CAT III LR TRUE</v>
      </c>
      <c r="R15" s="220">
        <v>0.25</v>
      </c>
      <c r="S15" s="220">
        <v>0.42499999999999999</v>
      </c>
      <c r="T15" s="220">
        <v>0.25</v>
      </c>
      <c r="U15" s="220">
        <v>0.39</v>
      </c>
      <c r="V15" s="221" t="b">
        <v>1</v>
      </c>
      <c r="X15" s="290"/>
    </row>
    <row r="16" spans="1:26">
      <c r="N16" s="47" t="s">
        <v>158</v>
      </c>
      <c r="O16" s="46" t="s">
        <v>154</v>
      </c>
      <c r="P16" s="46" t="b">
        <v>0</v>
      </c>
      <c r="Q16" s="46" t="str">
        <f t="shared" si="0"/>
        <v>CAT III R FALSE</v>
      </c>
      <c r="R16" s="220">
        <v>0.25</v>
      </c>
      <c r="S16" s="220">
        <v>0.42499999999999999</v>
      </c>
      <c r="T16" s="220">
        <v>0.25</v>
      </c>
      <c r="U16" s="220">
        <v>0.41</v>
      </c>
      <c r="V16" s="221" t="b">
        <v>1</v>
      </c>
      <c r="X16" s="290"/>
    </row>
    <row r="17" spans="1:24">
      <c r="A17" s="121"/>
      <c r="N17" s="47" t="s">
        <v>158</v>
      </c>
      <c r="O17" s="46" t="s">
        <v>154</v>
      </c>
      <c r="P17" s="46" t="b">
        <v>1</v>
      </c>
      <c r="Q17" s="46" t="str">
        <f t="shared" si="0"/>
        <v>CAT III R TRUE</v>
      </c>
      <c r="R17" s="220">
        <v>0.25</v>
      </c>
      <c r="S17" s="220">
        <v>0.42499999999999999</v>
      </c>
      <c r="T17" s="220">
        <v>0.25</v>
      </c>
      <c r="U17" s="220">
        <v>0.41</v>
      </c>
      <c r="V17" s="221" t="b">
        <v>1</v>
      </c>
      <c r="X17" s="290"/>
    </row>
    <row r="19" spans="1:24">
      <c r="A19" s="121"/>
    </row>
  </sheetData>
  <sortState ref="A2:L9">
    <sortCondition ref="A2:A9"/>
  </sortState>
  <pageMargins left="0.7" right="0.7" top="0.75" bottom="0.75" header="0.3" footer="0.3"/>
  <pageSetup orientation="portrait" r:id="rId1"/>
  <ignoredErrors>
    <ignoredError sqref="H3:I3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H22"/>
  <sheetViews>
    <sheetView workbookViewId="0">
      <selection activeCell="I12" sqref="I12"/>
    </sheetView>
  </sheetViews>
  <sheetFormatPr defaultRowHeight="15"/>
  <cols>
    <col min="10" max="10" width="12" customWidth="1"/>
  </cols>
  <sheetData>
    <row r="1" spans="1:8" ht="15.75" thickBot="1">
      <c r="A1" s="496" t="s">
        <v>134</v>
      </c>
      <c r="B1" s="497"/>
      <c r="C1" s="13"/>
      <c r="D1" s="496" t="s">
        <v>39</v>
      </c>
      <c r="E1" s="497"/>
      <c r="F1" s="12"/>
      <c r="G1" s="496" t="s">
        <v>44</v>
      </c>
      <c r="H1" s="497"/>
    </row>
    <row r="2" spans="1:8" ht="34.5">
      <c r="A2" s="67" t="s">
        <v>135</v>
      </c>
      <c r="B2" s="68" t="s">
        <v>1</v>
      </c>
      <c r="C2" s="13"/>
      <c r="D2" s="67" t="s">
        <v>4</v>
      </c>
      <c r="E2" s="68" t="s">
        <v>139</v>
      </c>
      <c r="F2" s="12"/>
      <c r="G2" s="67" t="s">
        <v>4</v>
      </c>
      <c r="H2" s="68" t="s">
        <v>139</v>
      </c>
    </row>
    <row r="3" spans="1:8" ht="15.75" thickBot="1">
      <c r="A3" s="122">
        <v>273.11</v>
      </c>
      <c r="B3" s="123">
        <v>135.84</v>
      </c>
      <c r="C3" s="13"/>
      <c r="D3" s="122">
        <v>-265</v>
      </c>
      <c r="E3" s="123">
        <v>-505</v>
      </c>
      <c r="F3" s="81"/>
      <c r="G3" s="122">
        <v>2040</v>
      </c>
      <c r="H3" s="123">
        <v>6520</v>
      </c>
    </row>
    <row r="4" spans="1:8" ht="15.75" thickBot="1">
      <c r="A4" s="13"/>
      <c r="B4" s="13"/>
      <c r="C4" s="13"/>
      <c r="D4" s="12"/>
      <c r="E4" s="12"/>
      <c r="F4" s="12"/>
      <c r="G4" s="13"/>
      <c r="H4" s="13"/>
    </row>
    <row r="5" spans="1:8" ht="15.75" thickBot="1">
      <c r="A5" s="496" t="s">
        <v>147</v>
      </c>
      <c r="B5" s="497"/>
      <c r="C5" s="12"/>
      <c r="D5" s="498" t="s">
        <v>146</v>
      </c>
      <c r="E5" s="499"/>
      <c r="F5" s="12"/>
      <c r="G5" s="496" t="s">
        <v>142</v>
      </c>
      <c r="H5" s="497"/>
    </row>
    <row r="6" spans="1:8" ht="34.5">
      <c r="A6" s="67" t="s">
        <v>4</v>
      </c>
      <c r="B6" s="68" t="s">
        <v>139</v>
      </c>
      <c r="C6" s="12"/>
      <c r="D6" s="84" t="s">
        <v>143</v>
      </c>
      <c r="E6" s="82" t="s">
        <v>163</v>
      </c>
      <c r="F6" s="12"/>
      <c r="G6" s="67" t="s">
        <v>4</v>
      </c>
      <c r="H6" s="68" t="s">
        <v>139</v>
      </c>
    </row>
    <row r="7" spans="1:8" ht="15.75" thickBot="1">
      <c r="A7" s="122">
        <v>-580</v>
      </c>
      <c r="B7" s="123">
        <v>-1854</v>
      </c>
      <c r="C7" s="12"/>
      <c r="D7" s="124" t="s">
        <v>144</v>
      </c>
      <c r="E7" s="125">
        <v>0</v>
      </c>
      <c r="F7" s="12"/>
      <c r="G7" s="122">
        <v>1000</v>
      </c>
      <c r="H7" s="123">
        <v>3532</v>
      </c>
    </row>
    <row r="8" spans="1:8" ht="15.75" thickBot="1">
      <c r="A8" s="12"/>
      <c r="B8" s="12"/>
      <c r="C8" s="126"/>
      <c r="D8" s="122" t="s">
        <v>145</v>
      </c>
      <c r="E8" s="123">
        <v>0</v>
      </c>
      <c r="F8" s="12"/>
      <c r="G8" s="13"/>
      <c r="H8" s="13"/>
    </row>
    <row r="9" spans="1:8">
      <c r="A9" s="1"/>
      <c r="B9" s="1"/>
      <c r="C9" s="1"/>
      <c r="D9" s="1"/>
      <c r="E9" s="1"/>
      <c r="F9" s="1"/>
    </row>
    <row r="10" spans="1:8">
      <c r="A10" s="1"/>
      <c r="B10" s="1"/>
      <c r="C10" s="1"/>
      <c r="D10" s="1"/>
      <c r="E10" s="1"/>
      <c r="F10" s="1"/>
    </row>
    <row r="11" spans="1:8">
      <c r="B11" s="12"/>
      <c r="C11" s="81"/>
      <c r="D11" s="1"/>
      <c r="E11" s="1"/>
    </row>
    <row r="12" spans="1:8">
      <c r="A12" s="1"/>
      <c r="B12" s="1"/>
      <c r="C12" s="1"/>
      <c r="D12" s="1"/>
      <c r="E12" s="1"/>
    </row>
    <row r="13" spans="1:8">
      <c r="B13" s="1"/>
      <c r="C13" s="1"/>
      <c r="D13" s="1"/>
      <c r="E13" s="1"/>
    </row>
    <row r="14" spans="1:8">
      <c r="B14" s="1"/>
      <c r="C14" s="1"/>
      <c r="D14" s="1"/>
      <c r="E14" s="1"/>
    </row>
    <row r="15" spans="1:8">
      <c r="B15" s="1"/>
      <c r="C15" s="1"/>
      <c r="D15" s="1"/>
      <c r="E15" s="1"/>
    </row>
    <row r="16" spans="1:8">
      <c r="B16" s="1"/>
      <c r="C16" s="1"/>
      <c r="D16" s="1"/>
      <c r="E16" s="1"/>
    </row>
    <row r="17" spans="2:5">
      <c r="B17" s="1"/>
      <c r="C17" s="1"/>
      <c r="D17" s="1"/>
      <c r="E17" s="1"/>
    </row>
    <row r="18" spans="2:5">
      <c r="B18" s="12"/>
      <c r="C18" s="1"/>
      <c r="D18" s="1"/>
      <c r="E18" s="1"/>
    </row>
    <row r="19" spans="2:5">
      <c r="B19" s="1"/>
      <c r="C19" s="1"/>
      <c r="D19" s="1"/>
      <c r="E19" s="1"/>
    </row>
    <row r="20" spans="2:5">
      <c r="B20" s="1"/>
      <c r="C20" s="1"/>
      <c r="D20" s="1"/>
      <c r="E20" s="1"/>
    </row>
    <row r="21" spans="2:5">
      <c r="B21" s="1"/>
      <c r="C21" s="1"/>
      <c r="D21" s="1"/>
      <c r="E21" s="1"/>
    </row>
    <row r="22" spans="2:5">
      <c r="B22" s="1"/>
      <c r="C22" s="1"/>
      <c r="D22" s="1"/>
      <c r="E22" s="1"/>
    </row>
  </sheetData>
  <mergeCells count="6">
    <mergeCell ref="G5:H5"/>
    <mergeCell ref="D5:E5"/>
    <mergeCell ref="A5:B5"/>
    <mergeCell ref="A1:B1"/>
    <mergeCell ref="D1:E1"/>
    <mergeCell ref="G1:H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DI62"/>
  <sheetViews>
    <sheetView topLeftCell="AJ1" zoomScaleNormal="100" workbookViewId="0">
      <selection activeCell="AW40" sqref="AW40"/>
    </sheetView>
  </sheetViews>
  <sheetFormatPr defaultRowHeight="15"/>
  <cols>
    <col min="29" max="29" width="21.42578125" customWidth="1"/>
    <col min="35" max="35" width="18.5703125" customWidth="1"/>
    <col min="40" max="40" width="19.140625" customWidth="1"/>
    <col min="78" max="78" width="11.42578125" customWidth="1"/>
    <col min="79" max="79" width="16.7109375" customWidth="1"/>
    <col min="84" max="84" width="12.7109375" customWidth="1"/>
    <col min="92" max="92" width="15.7109375" customWidth="1"/>
    <col min="97" max="97" width="10.85546875" customWidth="1"/>
    <col min="104" max="104" width="9.140625" style="13"/>
    <col min="105" max="105" width="14.85546875" style="13" customWidth="1"/>
    <col min="106" max="106" width="9.140625" style="13"/>
    <col min="107" max="107" width="17.140625" style="13" customWidth="1"/>
    <col min="108" max="108" width="9.140625" style="13"/>
    <col min="109" max="109" width="18.140625" style="13" customWidth="1"/>
    <col min="113" max="113" width="12.28515625" customWidth="1"/>
  </cols>
  <sheetData>
    <row r="1" spans="1:113" ht="15.75" customHeight="1" thickBot="1">
      <c r="A1" s="517" t="s">
        <v>128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8"/>
      <c r="O1" s="518"/>
      <c r="P1" s="518"/>
      <c r="Q1" s="518"/>
      <c r="R1" s="518"/>
      <c r="S1" s="518"/>
      <c r="T1" s="518"/>
      <c r="U1" s="518"/>
      <c r="V1" s="518"/>
      <c r="W1" s="518"/>
      <c r="X1" s="518"/>
      <c r="Y1" s="519"/>
      <c r="AA1" s="506" t="s">
        <v>130</v>
      </c>
      <c r="AB1" s="507"/>
      <c r="AC1" s="507"/>
      <c r="AD1" s="507"/>
      <c r="AE1" s="507"/>
      <c r="AF1" s="507"/>
      <c r="AG1" s="508"/>
      <c r="AI1" s="506" t="s">
        <v>27</v>
      </c>
      <c r="AJ1" s="507"/>
      <c r="AK1" s="507"/>
      <c r="AL1" s="508"/>
      <c r="AN1" s="412" t="s">
        <v>319</v>
      </c>
      <c r="AO1" s="414"/>
      <c r="AP1" s="414"/>
      <c r="AQ1" s="413"/>
      <c r="AS1" s="506" t="s">
        <v>141</v>
      </c>
      <c r="AT1" s="507"/>
      <c r="AU1" s="507"/>
      <c r="AV1" s="508"/>
      <c r="AX1" s="512" t="s">
        <v>44</v>
      </c>
      <c r="AY1" s="513"/>
      <c r="AZ1" s="513"/>
      <c r="BA1" s="513"/>
      <c r="BB1" s="513"/>
      <c r="BC1" s="513"/>
      <c r="BD1" s="514"/>
      <c r="BE1" s="414" t="s">
        <v>176</v>
      </c>
      <c r="BF1" s="414"/>
      <c r="BG1" s="414"/>
      <c r="BH1" s="413"/>
      <c r="BJ1" s="412" t="s">
        <v>170</v>
      </c>
      <c r="BK1" s="414"/>
      <c r="BL1" s="414"/>
      <c r="BM1" s="413"/>
      <c r="BO1" s="496"/>
      <c r="BP1" s="497"/>
      <c r="BQ1" s="520" t="s">
        <v>206</v>
      </c>
      <c r="BR1" s="521"/>
      <c r="BS1" s="520" t="s">
        <v>207</v>
      </c>
      <c r="BT1" s="522"/>
      <c r="BU1" s="412" t="s">
        <v>209</v>
      </c>
      <c r="BV1" s="414"/>
      <c r="BW1" s="413"/>
      <c r="BY1" s="412" t="s">
        <v>248</v>
      </c>
      <c r="BZ1" s="414"/>
      <c r="CA1" s="414"/>
      <c r="CB1" s="414"/>
      <c r="CC1" s="413"/>
      <c r="CE1" s="503" t="s">
        <v>286</v>
      </c>
      <c r="CF1" s="504"/>
      <c r="CH1" s="512" t="s">
        <v>299</v>
      </c>
      <c r="CI1" s="513"/>
      <c r="CJ1" s="513"/>
      <c r="CK1" s="514"/>
      <c r="CM1" s="512" t="s">
        <v>305</v>
      </c>
      <c r="CN1" s="514"/>
      <c r="CP1" s="506" t="s">
        <v>312</v>
      </c>
      <c r="CQ1" s="507"/>
      <c r="CR1" s="507"/>
      <c r="CS1" s="507"/>
      <c r="CT1" s="507"/>
      <c r="CU1" s="508"/>
      <c r="CZ1" s="503" t="s">
        <v>345</v>
      </c>
      <c r="DA1" s="505"/>
      <c r="DB1" s="505"/>
      <c r="DC1" s="505"/>
      <c r="DD1" s="505"/>
      <c r="DE1" s="505"/>
      <c r="DF1" s="504"/>
      <c r="DH1" s="503" t="s">
        <v>371</v>
      </c>
      <c r="DI1" s="504"/>
    </row>
    <row r="2" spans="1:113" ht="57.75" thickBot="1">
      <c r="A2" s="87" t="s">
        <v>129</v>
      </c>
      <c r="B2" s="93" t="s">
        <v>150</v>
      </c>
      <c r="C2" s="93" t="s">
        <v>88</v>
      </c>
      <c r="D2" s="88" t="s">
        <v>185</v>
      </c>
      <c r="E2" s="89" t="s">
        <v>292</v>
      </c>
      <c r="F2" s="89" t="s">
        <v>187</v>
      </c>
      <c r="G2" s="89" t="s">
        <v>196</v>
      </c>
      <c r="H2" s="89" t="s">
        <v>149</v>
      </c>
      <c r="I2" s="88" t="s">
        <v>43</v>
      </c>
      <c r="J2" s="50" t="s">
        <v>136</v>
      </c>
      <c r="K2" s="50" t="s">
        <v>148</v>
      </c>
      <c r="L2" s="50" t="s">
        <v>89</v>
      </c>
      <c r="M2" s="50" t="s">
        <v>90</v>
      </c>
      <c r="N2" s="50" t="s">
        <v>91</v>
      </c>
      <c r="O2" s="50" t="s">
        <v>137</v>
      </c>
      <c r="P2" s="50" t="s">
        <v>138</v>
      </c>
      <c r="Q2" s="50" t="s">
        <v>157</v>
      </c>
      <c r="R2" s="50" t="s">
        <v>152</v>
      </c>
      <c r="S2" s="50" t="s">
        <v>160</v>
      </c>
      <c r="T2" s="86" t="s">
        <v>164</v>
      </c>
      <c r="U2" s="50" t="s">
        <v>161</v>
      </c>
      <c r="V2" s="50" t="s">
        <v>210</v>
      </c>
      <c r="W2" s="50" t="s">
        <v>92</v>
      </c>
      <c r="X2" s="50" t="s">
        <v>211</v>
      </c>
      <c r="Y2" s="51" t="s">
        <v>94</v>
      </c>
      <c r="AA2" s="346" t="s">
        <v>3</v>
      </c>
      <c r="AB2" s="347" t="s">
        <v>129</v>
      </c>
      <c r="AC2" s="95" t="s">
        <v>2</v>
      </c>
      <c r="AD2" s="95" t="s">
        <v>4</v>
      </c>
      <c r="AE2" s="95" t="s">
        <v>75</v>
      </c>
      <c r="AF2" s="95" t="s">
        <v>76</v>
      </c>
      <c r="AG2" s="96" t="s">
        <v>133</v>
      </c>
      <c r="AI2" s="52" t="s">
        <v>2</v>
      </c>
      <c r="AJ2" s="50" t="s">
        <v>4</v>
      </c>
      <c r="AK2" s="50" t="s">
        <v>75</v>
      </c>
      <c r="AL2" s="51" t="s">
        <v>76</v>
      </c>
      <c r="AN2" s="94" t="s">
        <v>2</v>
      </c>
      <c r="AO2" s="95" t="s">
        <v>4</v>
      </c>
      <c r="AP2" s="95" t="s">
        <v>75</v>
      </c>
      <c r="AQ2" s="96" t="s">
        <v>76</v>
      </c>
      <c r="AS2" s="106" t="s">
        <v>140</v>
      </c>
      <c r="AT2" s="107" t="s">
        <v>4</v>
      </c>
      <c r="AU2" s="107" t="s">
        <v>139</v>
      </c>
      <c r="AV2" s="108" t="s">
        <v>162</v>
      </c>
      <c r="AX2" s="343" t="s">
        <v>165</v>
      </c>
      <c r="AY2" s="344" t="s">
        <v>186</v>
      </c>
      <c r="AZ2" s="344" t="s">
        <v>191</v>
      </c>
      <c r="BA2" s="344" t="s">
        <v>193</v>
      </c>
      <c r="BB2" s="344" t="s">
        <v>194</v>
      </c>
      <c r="BC2" s="344" t="s">
        <v>195</v>
      </c>
      <c r="BD2" s="345" t="s">
        <v>384</v>
      </c>
      <c r="BE2" s="338" t="s">
        <v>167</v>
      </c>
      <c r="BF2" s="95" t="s">
        <v>168</v>
      </c>
      <c r="BG2" s="95" t="s">
        <v>169</v>
      </c>
      <c r="BH2" s="96" t="s">
        <v>175</v>
      </c>
      <c r="BI2" s="222" t="s">
        <v>651</v>
      </c>
      <c r="BJ2" s="94" t="s">
        <v>171</v>
      </c>
      <c r="BK2" s="95" t="s">
        <v>172</v>
      </c>
      <c r="BL2" s="95" t="s">
        <v>173</v>
      </c>
      <c r="BM2" s="96" t="s">
        <v>174</v>
      </c>
      <c r="BO2" s="153" t="s">
        <v>197</v>
      </c>
      <c r="BP2" s="154" t="s">
        <v>205</v>
      </c>
      <c r="BQ2" s="154" t="s">
        <v>202</v>
      </c>
      <c r="BR2" s="154" t="s">
        <v>201</v>
      </c>
      <c r="BS2" s="154" t="s">
        <v>202</v>
      </c>
      <c r="BT2" s="155" t="s">
        <v>201</v>
      </c>
      <c r="BU2" s="157" t="s">
        <v>208</v>
      </c>
      <c r="BV2" s="154" t="s">
        <v>202</v>
      </c>
      <c r="BW2" s="155" t="s">
        <v>201</v>
      </c>
      <c r="BY2" s="161" t="s">
        <v>243</v>
      </c>
      <c r="BZ2" s="162" t="s">
        <v>244</v>
      </c>
      <c r="CA2" s="162" t="s">
        <v>245</v>
      </c>
      <c r="CB2" s="162" t="s">
        <v>246</v>
      </c>
      <c r="CC2" s="163" t="s">
        <v>247</v>
      </c>
      <c r="CE2" s="181" t="s">
        <v>3</v>
      </c>
      <c r="CF2" s="182" t="s">
        <v>256</v>
      </c>
      <c r="CH2" s="161" t="s">
        <v>300</v>
      </c>
      <c r="CI2" s="162" t="s">
        <v>175</v>
      </c>
      <c r="CJ2" s="162" t="s">
        <v>4</v>
      </c>
      <c r="CK2" s="163" t="s">
        <v>290</v>
      </c>
      <c r="CM2" s="161" t="s">
        <v>305</v>
      </c>
      <c r="CN2" s="163" t="s">
        <v>306</v>
      </c>
      <c r="CP2" s="161"/>
      <c r="CQ2" s="162" t="s">
        <v>175</v>
      </c>
      <c r="CR2" s="162" t="s">
        <v>4</v>
      </c>
      <c r="CS2" s="162" t="s">
        <v>310</v>
      </c>
      <c r="CT2" s="162" t="s">
        <v>311</v>
      </c>
      <c r="CU2" s="163"/>
      <c r="CZ2" s="161" t="s">
        <v>3</v>
      </c>
      <c r="DA2" s="162" t="s">
        <v>256</v>
      </c>
      <c r="DB2" s="162" t="s">
        <v>344</v>
      </c>
      <c r="DC2" s="162" t="s">
        <v>325</v>
      </c>
      <c r="DD2" s="162" t="s">
        <v>3</v>
      </c>
      <c r="DE2" s="162" t="s">
        <v>346</v>
      </c>
      <c r="DF2" s="163" t="s">
        <v>351</v>
      </c>
      <c r="DH2" s="161" t="s">
        <v>3</v>
      </c>
      <c r="DI2" s="163" t="s">
        <v>256</v>
      </c>
    </row>
    <row r="3" spans="1:113" ht="15.75" thickBot="1">
      <c r="A3" s="112">
        <v>0</v>
      </c>
      <c r="B3" s="113">
        <v>29</v>
      </c>
      <c r="C3" s="113" t="str">
        <f>IF(LEN(Configurator!A66)&gt;0, Configurator!A66, INDEX('Tail Number'!A2:A33,Calculations!B3,1))</f>
        <v>90-00840</v>
      </c>
      <c r="D3" s="91">
        <v>8</v>
      </c>
      <c r="E3" s="91">
        <f>INDEX(Aircraft!$A$2:$J$9,Calculations!$D$3,E4)</f>
        <v>3532</v>
      </c>
      <c r="F3" s="113">
        <f>IF($BB$29=0,O6,BB29+I3)</f>
        <v>7525</v>
      </c>
      <c r="G3" s="113">
        <f>IF($BB$29=0,P6,BC29+J3)</f>
        <v>23871</v>
      </c>
      <c r="H3" s="91" t="str">
        <f>INDEX(Aircraft!$A$2:$I$9,Calculations!$D$3,H4)</f>
        <v>F-16DM 50/52</v>
      </c>
      <c r="I3" s="91">
        <f>INDEX(Aircraft!$A$2:$I$9,Calculations!$D$3,I4)</f>
        <v>5920</v>
      </c>
      <c r="J3" s="91">
        <f>INDEX(Aircraft!$A$2:$I$9,Calculations!$D$3,J4)</f>
        <v>20061</v>
      </c>
      <c r="K3" s="91">
        <f>INDEX(Aircraft!$A$2:$I$9,Calculations!$D$3,K4)</f>
        <v>-214</v>
      </c>
      <c r="L3" s="91">
        <f>INDEX(Aircraft!$A$2:$I$9,Calculations!$D$3,L4)</f>
        <v>42300</v>
      </c>
      <c r="M3" s="91">
        <f>INDEX(Aircraft!$A$2:$I$9,Calculations!$D$3,M4)</f>
        <v>42300</v>
      </c>
      <c r="N3" s="91">
        <f>INDEX(Aircraft!$A$2:$I$9,Calculations!$D$3,N4)</f>
        <v>3002</v>
      </c>
      <c r="O3" s="91">
        <f>INDEX(Aircraft!$A$2:$I$9,Calculations!$D$3,O4)</f>
        <v>5920</v>
      </c>
      <c r="P3" s="91">
        <f>INDEX(Aircraft!$A$2:$I$9,Calculations!$D$3,P4)</f>
        <v>20061</v>
      </c>
      <c r="Q3" s="113">
        <v>2</v>
      </c>
      <c r="R3" s="113" t="str">
        <f>IF(Q3=1, "CAT I", "CAT III")</f>
        <v>CAT III</v>
      </c>
      <c r="S3" s="113" t="str">
        <f>CONCATENATE(IF($S$6, 0,1), IF(AC17=0, 0,1))</f>
        <v>01</v>
      </c>
      <c r="T3" s="113" t="b">
        <f>NOT(ISERROR(SEARCH("TANK",AC11)))</f>
        <v>1</v>
      </c>
      <c r="U3" s="113" t="str">
        <f>CONCATENATE(R3," ",Chin_Station_Config(S3)," ",T3)</f>
        <v>CAT III R TRUE</v>
      </c>
      <c r="V3" s="113">
        <f>MAX(VLOOKUP(Calculations!$U$3,Aircraft!Q2:V17,Calculations!V4),BV3)</f>
        <v>0.32</v>
      </c>
      <c r="W3" s="113">
        <f>MIN(VLOOKUP(Calculations!$U$3,Aircraft!Q2:V17,Calculations!W4),BW3)</f>
        <v>0.42499999999999999</v>
      </c>
      <c r="X3" s="113">
        <f>IF(Q3=3, VLOOKUP(U6,Aircraft!Q2:V17,Calculations!X4), VLOOKUP(Calculations!$U$3,Aircraft!Q2:V17,Calculations!X4))</f>
        <v>0.25</v>
      </c>
      <c r="Y3" s="114">
        <f>VLOOKUP(Calculations!$U$3,Aircraft!Q2:V17,Calculations!Y4)</f>
        <v>0.41</v>
      </c>
      <c r="AA3" s="361" t="s">
        <v>322</v>
      </c>
      <c r="AB3" s="91">
        <v>5</v>
      </c>
      <c r="AC3" s="91" t="str">
        <f>INDEX(Stores!A3:E199,Calculations!AB3, Calculations!AC29)</f>
        <v>AIM-9L OR -9M</v>
      </c>
      <c r="AD3" s="91">
        <f>INDEX(Stores!$A$3:$E$199,Calculations!$AB3,AD$29)</f>
        <v>195</v>
      </c>
      <c r="AE3" s="91">
        <f>INDEX(Stores!$A$3:$E$199,Calculations!$AB3,AE$29)</f>
        <v>710.77499999999998</v>
      </c>
      <c r="AF3" s="91">
        <f>-INDEX(Stores!$A$3:$E$199,Calculations!$AB3,AF$29)</f>
        <v>-368.745</v>
      </c>
      <c r="AG3" s="92">
        <v>1</v>
      </c>
      <c r="AI3" s="103" t="s">
        <v>660</v>
      </c>
      <c r="AJ3" s="104">
        <v>195</v>
      </c>
      <c r="AK3" s="104">
        <v>710.77499999999998</v>
      </c>
      <c r="AL3" s="105">
        <v>-368.745</v>
      </c>
      <c r="AM3" s="13"/>
      <c r="AN3" s="97" t="s">
        <v>665</v>
      </c>
      <c r="AO3" s="98">
        <v>93</v>
      </c>
      <c r="AP3" s="98">
        <v>316.94400000000002</v>
      </c>
      <c r="AQ3" s="99">
        <v>-111.6</v>
      </c>
      <c r="AS3" s="90" t="s">
        <v>5</v>
      </c>
      <c r="AT3" s="91">
        <v>215</v>
      </c>
      <c r="AU3" s="91">
        <v>296</v>
      </c>
      <c r="AV3" s="92">
        <v>0</v>
      </c>
      <c r="AX3" s="304" t="b">
        <f>NOT(ISERROR(SEARCH("TANK",AC3)))</f>
        <v>0</v>
      </c>
      <c r="AY3" s="305" t="str">
        <f t="shared" ref="AY3:AY28" si="0">IF(AX3, VALUE(LEFT(AC3,3)), "")</f>
        <v/>
      </c>
      <c r="AZ3" s="306" t="str">
        <f>IF($AX3,VLOOKUP($AY3,Fuels!$A$2:$E$3,AZ$30),"")</f>
        <v/>
      </c>
      <c r="BA3" s="306" t="str">
        <f>IF($AX3,VLOOKUP($AY3,Fuels!$A$2:$E$3,BA$30),"")</f>
        <v/>
      </c>
      <c r="BB3" s="306" t="str">
        <f>IF($AX3,VLOOKUP($AY3,Fuels!$A$2:$E$3,BB$30),"")</f>
        <v/>
      </c>
      <c r="BC3" s="306" t="str">
        <f>IF($AX3,VLOOKUP($AY3,Fuels!$A$2:$E$3,BC$30),"")</f>
        <v/>
      </c>
      <c r="BD3" s="306" t="str">
        <f>IF($AX3,-VLOOKUP($AY3,Fuels!$A$2:$F$3,BD$30),"")</f>
        <v/>
      </c>
      <c r="BE3" s="336" t="s">
        <v>749</v>
      </c>
      <c r="BF3" s="98">
        <v>-3629</v>
      </c>
      <c r="BG3" s="98">
        <v>-12256</v>
      </c>
      <c r="BH3" s="401">
        <v>0.33895560372790673</v>
      </c>
      <c r="BI3" s="399" t="b">
        <v>0</v>
      </c>
      <c r="BJ3" s="134">
        <f>'Form F'!K54-SUM('Form F'!K$52:'Form F'!K$53)+Calculations!O3+Calculations!AU9</f>
        <v>32724</v>
      </c>
      <c r="BK3" s="135">
        <f>'Form F'!L54-SUM('Form F'!L$52:'Form F'!L$53)+Calculations!P3+Calculations!AV9+IF(Y6,K3,0)</f>
        <v>106766.95225</v>
      </c>
      <c r="BL3" s="135">
        <f>SUM('Form F'!D8:D11)</f>
        <v>34594</v>
      </c>
      <c r="BM3" s="136">
        <f>SUM('Form F'!E8:F11)</f>
        <v>111081.95225</v>
      </c>
      <c r="BO3" s="134">
        <f>'Form F'!K54</f>
        <v>40061</v>
      </c>
      <c r="BP3" s="135">
        <f>MROUND(BO3,100)</f>
        <v>40100</v>
      </c>
      <c r="BQ3" s="135">
        <f>VLOOKUP($BP$3,'NW Limits'!A3:E228,2)</f>
        <v>0.30199999999999999</v>
      </c>
      <c r="BR3" s="135">
        <f>VLOOKUP($BP$3,'NW Limits'!A3:E228,5)</f>
        <v>0.35799999999999998</v>
      </c>
      <c r="BS3" s="135">
        <f>VLOOKUP($BP$3,'NW Limits'!$F$3:$H$276,2)</f>
        <v>0.32</v>
      </c>
      <c r="BT3" s="156">
        <f>VLOOKUP($BP$3,'NW Limits'!$F$3:$H$276,3)</f>
        <v>0.46</v>
      </c>
      <c r="BU3" s="134" t="b">
        <f>OR(NOT(ISERROR(SEARCH("40", $H$3))),NOT(ISERROR(SEARCH("50", $H$3))))</f>
        <v>1</v>
      </c>
      <c r="BV3" s="135">
        <f>IF(BU3,BS3,BQ3)</f>
        <v>0.32</v>
      </c>
      <c r="BW3" s="136">
        <f>IF(BV3,BT3,BR3)</f>
        <v>0.46</v>
      </c>
      <c r="BY3" s="164" t="str">
        <f>TRIM(LEFT(H3,6))</f>
        <v>F-16DM</v>
      </c>
      <c r="BZ3" s="165" t="s">
        <v>747</v>
      </c>
      <c r="CA3" s="165" t="str">
        <f>CONCATENATE(BY3," ",BZ3)</f>
        <v>F-16DM Air-to-Surface</v>
      </c>
      <c r="CB3" s="165">
        <f>VLOOKUP($CA$3,Fuels!$G$1:$I$31,2)</f>
        <v>-723</v>
      </c>
      <c r="CC3" s="166">
        <f>VLOOKUP($CA$3,Fuels!$G$1:$I$31,3)</f>
        <v>-2310.9971999999998</v>
      </c>
      <c r="CE3" s="137">
        <v>1</v>
      </c>
      <c r="CF3" s="183" t="s">
        <v>257</v>
      </c>
      <c r="CH3" s="103" t="s">
        <v>301</v>
      </c>
      <c r="CI3" s="104">
        <f>'Form F'!L55</f>
        <v>0.36252788610296283</v>
      </c>
      <c r="CJ3" s="104">
        <f>'Form F'!L66</f>
        <v>40061</v>
      </c>
      <c r="CK3" s="260">
        <f>Asymmetric_Limit(CI3,CJ3,$BU$3)</f>
        <v>2361.962683796316</v>
      </c>
      <c r="CM3" s="164" t="str">
        <f>Applicable_Regulation(H3)</f>
        <v>1F-16CM-5-2</v>
      </c>
      <c r="CN3" s="166"/>
      <c r="CP3" s="103" t="s">
        <v>308</v>
      </c>
      <c r="CQ3" s="104">
        <f>'Form F'!L67</f>
        <v>0.36252788610296283</v>
      </c>
      <c r="CR3" s="104">
        <f>'Form F'!K54</f>
        <v>40061</v>
      </c>
      <c r="CS3" s="104" t="str">
        <f>$H$3</f>
        <v>F-16DM 50/52</v>
      </c>
      <c r="CT3" s="104" t="str">
        <f>Nose_Wheel_Zone(CQ3,CR3,CS3)</f>
        <v>NORMAL</v>
      </c>
      <c r="CU3" s="105"/>
      <c r="CZ3" s="137">
        <v>1</v>
      </c>
      <c r="DA3" s="353" t="s">
        <v>326</v>
      </c>
      <c r="DB3" s="98">
        <f>COUNTA(Stores!A3:A199)</f>
        <v>20</v>
      </c>
      <c r="DC3" s="99" t="str">
        <f>CONCATENATE("Stores!A3:A",DB3+3)</f>
        <v>Stores!A3:A23</v>
      </c>
      <c r="DD3" s="336" t="s">
        <v>6</v>
      </c>
      <c r="DE3" s="98" t="str">
        <f>AC4</f>
        <v>LAU-129/A LAUNCHER</v>
      </c>
      <c r="DF3" s="99" t="s">
        <v>352</v>
      </c>
      <c r="DH3" s="209">
        <v>1</v>
      </c>
      <c r="DI3" s="333" t="s">
        <v>372</v>
      </c>
    </row>
    <row r="4" spans="1:113" ht="15.75" thickBot="1">
      <c r="A4" s="109"/>
      <c r="B4" s="110"/>
      <c r="C4" s="110"/>
      <c r="D4" s="110"/>
      <c r="E4" s="110">
        <v>10</v>
      </c>
      <c r="F4" s="110"/>
      <c r="G4" s="110"/>
      <c r="H4" s="110">
        <v>1</v>
      </c>
      <c r="I4" s="110">
        <v>2</v>
      </c>
      <c r="J4" s="110">
        <v>3</v>
      </c>
      <c r="K4" s="110">
        <v>4</v>
      </c>
      <c r="L4" s="110">
        <v>5</v>
      </c>
      <c r="M4" s="110">
        <v>6</v>
      </c>
      <c r="N4" s="110">
        <v>7</v>
      </c>
      <c r="O4" s="110">
        <v>8</v>
      </c>
      <c r="P4" s="110">
        <v>9</v>
      </c>
      <c r="Q4" s="110"/>
      <c r="R4" s="130"/>
      <c r="T4" s="110"/>
      <c r="U4" s="110"/>
      <c r="V4" s="110">
        <v>2</v>
      </c>
      <c r="W4" s="110">
        <v>3</v>
      </c>
      <c r="X4" s="110">
        <v>4</v>
      </c>
      <c r="Y4" s="111">
        <v>5</v>
      </c>
      <c r="AA4" s="60">
        <v>1</v>
      </c>
      <c r="AB4" s="348">
        <v>2</v>
      </c>
      <c r="AC4" s="348" t="str">
        <f>INDEX(Stores!A201:E500,Calculations!AB4,Calculations!AC29)</f>
        <v>LAU-129/A LAUNCHER</v>
      </c>
      <c r="AD4" s="348">
        <f>INDEX(Stores!$A$201:$E$300,Calculations!$AB4,AD$29)</f>
        <v>15</v>
      </c>
      <c r="AE4" s="348">
        <f>INDEX(Stores!$A$201:$E$300,Calculations!$AB4,AE$29)</f>
        <v>55.95</v>
      </c>
      <c r="AF4" s="348">
        <f>-INDEX(Stores!$A$201:$E$300,Calculations!$AB4,AF$29)</f>
        <v>-28.364999999999998</v>
      </c>
      <c r="AG4" s="349">
        <v>1</v>
      </c>
      <c r="AI4" s="47" t="s">
        <v>601</v>
      </c>
      <c r="AJ4" s="46">
        <v>15</v>
      </c>
      <c r="AK4" s="46">
        <v>55.95</v>
      </c>
      <c r="AL4" s="59">
        <v>-28.364999999999998</v>
      </c>
      <c r="AM4" s="13"/>
      <c r="AN4" s="47" t="s">
        <v>739</v>
      </c>
      <c r="AO4" s="46">
        <v>1530</v>
      </c>
      <c r="AP4" s="46">
        <v>5187.0059999999994</v>
      </c>
      <c r="AQ4" s="59">
        <v>-1836</v>
      </c>
      <c r="AS4" s="229" t="str">
        <f>IF(AND(OR($H$3 =Aircraft!$A$3,$H$3 = Aircraft!$A$7, $H$3 = Aircraft!$A$8,$H$3=Aircraft!$A$9),NOT(AT11)), "Back Seater", "")</f>
        <v>Back Seater</v>
      </c>
      <c r="AT4" s="83">
        <f>IF(AND(OR($H$3 =Aircraft!$A$3,$H$3 = Aircraft!$A$7, $H$3 = Aircraft!$A$8,$H$3=Aircraft!$A$9),NOT(AT11)), 215, "")</f>
        <v>215</v>
      </c>
      <c r="AU4" s="83">
        <f>IF(AND(OR($H$3 =Aircraft!$A$3,$H$3 = Aircraft!$A$7, $H$3 = Aircraft!$A$8,$H$3=Aircraft!$A$9),NOT(AT11)),436, "")</f>
        <v>436</v>
      </c>
      <c r="AV4" s="230">
        <f>IF(AND(OR($H$3 =Aircraft!$A$3,$H$3 = Aircraft!$A$7, $H$3 = Aircraft!$A$8,$H$3=Aircraft!$A$9),NOT(AT11)), 0, "")</f>
        <v>0</v>
      </c>
      <c r="AX4" s="304" t="b">
        <f t="shared" ref="AX4:AX28" si="1">NOT(ISERROR(SEARCH("TANK",AC4)))</f>
        <v>0</v>
      </c>
      <c r="AY4" s="305" t="str">
        <f t="shared" si="0"/>
        <v/>
      </c>
      <c r="AZ4" s="306" t="str">
        <f>IF($AX4,VLOOKUP($AY4,Fuels!$A$2:$E$3,AZ$30),"")</f>
        <v/>
      </c>
      <c r="BA4" s="306" t="str">
        <f>IF($AX4,VLOOKUP($AY4,Fuels!$A$2:$E$3,BA$30),"")</f>
        <v/>
      </c>
      <c r="BB4" s="306" t="str">
        <f>IF($AX4,VLOOKUP($AY4,Fuels!$A$2:$E$3,BB$30),"")</f>
        <v/>
      </c>
      <c r="BC4" s="306" t="str">
        <f>IF($AX4,VLOOKUP($AY4,Fuels!$A$2:$E$3,BC$30),"")</f>
        <v/>
      </c>
      <c r="BD4" s="306" t="str">
        <f>IF($AX4,-VLOOKUP($AY4,Fuels!$A$2:$F$3,BD$30),"")</f>
        <v/>
      </c>
      <c r="BE4" s="337" t="s">
        <v>741</v>
      </c>
      <c r="BF4" s="101">
        <v>-1317</v>
      </c>
      <c r="BG4" s="101">
        <v>-4218</v>
      </c>
      <c r="BH4" s="402">
        <v>0.39315540092886647</v>
      </c>
      <c r="BI4" s="400" t="b">
        <v>1</v>
      </c>
      <c r="BO4" s="509" t="s">
        <v>253</v>
      </c>
      <c r="BP4" s="510"/>
      <c r="BQ4" s="510"/>
      <c r="BR4" s="510"/>
      <c r="BS4" s="510"/>
      <c r="BT4" s="510"/>
      <c r="BU4" s="510"/>
      <c r="BV4" s="510"/>
      <c r="BW4" s="511"/>
      <c r="BY4" s="370" t="s">
        <v>417</v>
      </c>
      <c r="BZ4" s="371"/>
      <c r="CE4" s="121">
        <v>1</v>
      </c>
      <c r="CF4" s="184" t="s">
        <v>258</v>
      </c>
      <c r="CH4" s="47" t="s">
        <v>295</v>
      </c>
      <c r="CI4" s="46">
        <f>'Form F'!L70</f>
        <v>0.33895794141986002</v>
      </c>
      <c r="CJ4" s="46">
        <f>BL3</f>
        <v>34594</v>
      </c>
      <c r="CK4" s="260">
        <f>Asymmetric_Limit(CI4,CJ4,$BU$3)</f>
        <v>4994.4521515573051</v>
      </c>
      <c r="CP4" s="47" t="s">
        <v>309</v>
      </c>
      <c r="CQ4" s="46">
        <f>'Form F'!L69</f>
        <v>0.37498315583451358</v>
      </c>
      <c r="CR4" s="46">
        <f>'Form F'!K64</f>
        <v>28069</v>
      </c>
      <c r="CS4" s="46" t="str">
        <f>$H$3</f>
        <v>F-16DM 50/52</v>
      </c>
      <c r="CT4" s="46" t="str">
        <f>Nose_Wheel_Zone(CQ4,CR4,CS4)</f>
        <v>NORMAL</v>
      </c>
      <c r="CU4" s="59"/>
      <c r="CZ4" s="121">
        <v>1</v>
      </c>
      <c r="DA4" s="118" t="s">
        <v>327</v>
      </c>
      <c r="DB4" s="46">
        <f>COUNTA(Stores!A201:A470)</f>
        <v>2</v>
      </c>
      <c r="DC4" s="59" t="str">
        <f>CONCATENATE("Stores!A201:A",DB4+201)</f>
        <v>Stores!A201:A203</v>
      </c>
      <c r="DD4" s="356" t="s">
        <v>347</v>
      </c>
      <c r="DE4" s="46" t="str">
        <f>AC6</f>
        <v>16S301 ADAPTER</v>
      </c>
      <c r="DF4" s="59" t="s">
        <v>353</v>
      </c>
      <c r="DH4" s="121">
        <v>2</v>
      </c>
      <c r="DI4" s="184" t="s">
        <v>373</v>
      </c>
    </row>
    <row r="5" spans="1:113" ht="15.75" customHeight="1" thickBot="1">
      <c r="B5" s="263" t="s">
        <v>185</v>
      </c>
      <c r="D5" s="397" t="s">
        <v>649</v>
      </c>
      <c r="E5" s="177"/>
      <c r="F5" s="178"/>
      <c r="H5" s="263" t="s">
        <v>387</v>
      </c>
      <c r="O5" s="264" t="s">
        <v>295</v>
      </c>
      <c r="P5" s="265" t="s">
        <v>295</v>
      </c>
      <c r="R5" s="277" t="s">
        <v>313</v>
      </c>
      <c r="S5" s="222" t="s">
        <v>307</v>
      </c>
      <c r="U5" s="515" t="s">
        <v>652</v>
      </c>
      <c r="V5" s="516"/>
      <c r="Y5" s="266" t="s">
        <v>297</v>
      </c>
      <c r="AA5" s="60">
        <v>2</v>
      </c>
      <c r="AB5" s="348">
        <v>3</v>
      </c>
      <c r="AC5" s="348" t="str">
        <f>INDEX(Stores!$F$3:$J$199,Calculations!$AB5,AC$29)</f>
        <v>LAU-129/A LAUNCHER</v>
      </c>
      <c r="AD5" s="348">
        <f>INDEX(Stores!$F$3:$J$199,Calculations!$AB5,AD$29)</f>
        <v>87</v>
      </c>
      <c r="AE5" s="348">
        <f>INDEX(Stores!$F$3:$J$199,Calculations!$AB5,AE$29)</f>
        <v>310.15499999999997</v>
      </c>
      <c r="AF5" s="348">
        <f>-INDEX(Stores!$F$3:$J$199,Calculations!$AB5,AF$29)</f>
        <v>-136.59</v>
      </c>
      <c r="AG5" s="349">
        <v>1</v>
      </c>
      <c r="AI5" s="47" t="s">
        <v>641</v>
      </c>
      <c r="AJ5" s="46">
        <v>87</v>
      </c>
      <c r="AK5" s="46">
        <v>310.15499999999997</v>
      </c>
      <c r="AL5" s="59">
        <v>-136.59</v>
      </c>
      <c r="AM5" s="13"/>
      <c r="AN5" s="47" t="s">
        <v>466</v>
      </c>
      <c r="AO5" s="46">
        <v>467</v>
      </c>
      <c r="AP5" s="46">
        <v>1484.99929</v>
      </c>
      <c r="AQ5" s="59">
        <v>-331.57</v>
      </c>
      <c r="AX5" s="304" t="b">
        <f t="shared" si="1"/>
        <v>0</v>
      </c>
      <c r="AY5" s="305" t="str">
        <f t="shared" si="0"/>
        <v/>
      </c>
      <c r="AZ5" s="306" t="str">
        <f>IF($AX5,VLOOKUP($AY5,Fuels!$A$2:$E$3,AZ$30),"")</f>
        <v/>
      </c>
      <c r="BA5" s="306" t="str">
        <f>IF($AX5,VLOOKUP($AY5,Fuels!$A$2:$E$3,BA$30),"")</f>
        <v/>
      </c>
      <c r="BB5" s="306" t="str">
        <f>IF($AX5,VLOOKUP($AY5,Fuels!$A$2:$E$3,BB$30),"")</f>
        <v/>
      </c>
      <c r="BC5" s="306" t="str">
        <f>IF($AX5,VLOOKUP($AY5,Fuels!$A$2:$E$3,BC$30),"")</f>
        <v/>
      </c>
      <c r="BD5" s="306" t="str">
        <f>IF($AX5,-VLOOKUP($AY5,Fuels!$A$2:$F$3,BD$30),"")</f>
        <v/>
      </c>
      <c r="BO5" s="135">
        <v>30965</v>
      </c>
      <c r="BP5" s="135">
        <f>MROUND(BO5,100)</f>
        <v>31000</v>
      </c>
      <c r="BQ5" s="135">
        <f>VLOOKUP($BP$5,'NW Limits'!A5:E230,2)</f>
        <v>0.25700000000000001</v>
      </c>
      <c r="BR5" s="135">
        <f>VLOOKUP($BP$5,'NW Limits'!A5:E230,5)</f>
        <v>0.45100000000000001</v>
      </c>
      <c r="BS5" s="135">
        <f>VLOOKUP($BP$5,'NW Limits'!$F$3:$H$276,2)</f>
        <v>0.25700000000000001</v>
      </c>
      <c r="BT5" s="156">
        <f>VLOOKUP($BP$5,'NW Limits'!$F$3:$H$276,3)</f>
        <v>0.45100000000000001</v>
      </c>
      <c r="BU5" s="134" t="b">
        <f>OR(NOT(ISERROR(SEARCH("40", $H$3))),NOT(ISERROR(SEARCH("50", $H$3))))</f>
        <v>1</v>
      </c>
      <c r="BV5" s="135">
        <f>IF(BU5,BS5,BQ5)</f>
        <v>0.25700000000000001</v>
      </c>
      <c r="BW5" s="136">
        <f>IF(BV5,BT5,BR5)</f>
        <v>0.45100000000000001</v>
      </c>
      <c r="BY5" s="372" t="b">
        <v>1</v>
      </c>
      <c r="BZ5" s="269"/>
      <c r="CE5" s="121">
        <v>2</v>
      </c>
      <c r="CF5" s="184" t="s">
        <v>259</v>
      </c>
      <c r="CH5" s="47" t="s">
        <v>302</v>
      </c>
      <c r="CI5" s="46">
        <f>'Form F'!L71</f>
        <v>0.3931553950690243</v>
      </c>
      <c r="CJ5" s="46">
        <f>BJ3</f>
        <v>32724</v>
      </c>
      <c r="CK5" s="260">
        <f>Asymmetric_Limit(CI5,CJ5,$BU$3)</f>
        <v>4961.5861631387779</v>
      </c>
      <c r="CP5" s="100" t="s">
        <v>302</v>
      </c>
      <c r="CQ5" s="101">
        <f>'Form F'!L71</f>
        <v>0.3931553950690243</v>
      </c>
      <c r="CR5" s="101">
        <f>BO7</f>
        <v>31407</v>
      </c>
      <c r="CS5" s="101" t="str">
        <f>$H$3</f>
        <v>F-16DM 50/52</v>
      </c>
      <c r="CT5" s="101" t="str">
        <f>Nose_Wheel_Zone(CQ5,CR5,CS5)</f>
        <v>NORMAL</v>
      </c>
      <c r="CU5" s="102"/>
      <c r="CZ5" s="121">
        <v>2</v>
      </c>
      <c r="DA5" s="118" t="s">
        <v>328</v>
      </c>
      <c r="DB5" s="46">
        <f>COUNTA(Stores!F3:F199)</f>
        <v>2</v>
      </c>
      <c r="DC5" s="59" t="str">
        <f>CONCATENATE("Stores!F3:F",DB5+3)</f>
        <v>Stores!F3:F5</v>
      </c>
      <c r="DD5" s="356" t="s">
        <v>347</v>
      </c>
      <c r="DE5" s="46" t="str">
        <f>AC5</f>
        <v>LAU-129/A LAUNCHER</v>
      </c>
      <c r="DF5" s="59" t="s">
        <v>393</v>
      </c>
      <c r="DH5" s="121">
        <v>3</v>
      </c>
      <c r="DI5" s="184" t="s">
        <v>374</v>
      </c>
    </row>
    <row r="6" spans="1:113" ht="15.75" thickBot="1">
      <c r="B6" s="240">
        <f>VLOOKUP(C3,'Tail Number'!$A$2:$C$34,3)</f>
        <v>8</v>
      </c>
      <c r="D6" s="398" t="b">
        <f>IF(F3&gt;I3, TRUE, FALSE)</f>
        <v>1</v>
      </c>
      <c r="H6" s="240" t="str">
        <f>IF(AND(ISERR(SEARCH("D", H3)), ISERR(SEARCH("B",H3))), "SINGLE", "DUAL")</f>
        <v>DUAL</v>
      </c>
      <c r="O6" s="210">
        <f>INDEX(Aircraft!$A$2:$L$9,Calculations!$D$3,O7)</f>
        <v>0</v>
      </c>
      <c r="P6" s="211">
        <f>INDEX(Aircraft!$A$2:$L$9,Calculations!$D$3,P7)</f>
        <v>0</v>
      </c>
      <c r="R6" s="240" t="str">
        <f>IF(R3="CAT I", "CATEGORY I", "CATEGORY III")</f>
        <v>CATEGORY III</v>
      </c>
      <c r="S6" s="267" t="b">
        <f>OR(AC14=0, NOT(ISERR(SEARCH("HTS",$AC$14))), NOT(ISERR(SEARCH("PYLON ONLY", $AC$14))))</f>
        <v>1</v>
      </c>
      <c r="U6" s="268" t="str">
        <f>CONCATENATE("CAT I"," ",Chin_Station_Config(S3)," ",T3)</f>
        <v>CAT I R TRUE</v>
      </c>
      <c r="V6" s="269"/>
      <c r="Y6" s="224" t="b">
        <f>VLOOKUP(Calculations!$U$3,Aircraft!Q2:V17,Calculations!Y7)</f>
        <v>1</v>
      </c>
      <c r="AA6" s="60">
        <v>2</v>
      </c>
      <c r="AB6" s="348">
        <v>5</v>
      </c>
      <c r="AC6" s="348" t="str">
        <f>INDEX(Stores!$F$201:$J$500,Calculations!$AB6,AC$29)</f>
        <v>16S301 ADAPTER</v>
      </c>
      <c r="AD6" s="348">
        <f>INDEX(Stores!$F$201:$J$500,Calculations!$AB6,AD$29)</f>
        <v>26</v>
      </c>
      <c r="AE6" s="348">
        <f>INDEX(Stores!$F$201:$J$500,Calculations!$AB6,AE$29)</f>
        <v>97.448000000000008</v>
      </c>
      <c r="AF6" s="348">
        <f>-INDEX(Stores!$F$201:$J$500,Calculations!$AB6,AF$29)</f>
        <v>-40.82</v>
      </c>
      <c r="AG6" s="349">
        <v>1</v>
      </c>
      <c r="AI6" s="47" t="s">
        <v>640</v>
      </c>
      <c r="AJ6" s="46">
        <v>26</v>
      </c>
      <c r="AK6" s="46">
        <v>97.448000000000008</v>
      </c>
      <c r="AL6" s="59">
        <v>-40.82</v>
      </c>
      <c r="AM6" s="13"/>
      <c r="AN6" s="47" t="s">
        <v>658</v>
      </c>
      <c r="AO6" s="46">
        <v>383</v>
      </c>
      <c r="AP6" s="46">
        <v>1248.0016700000001</v>
      </c>
      <c r="AQ6" s="59">
        <v>0</v>
      </c>
      <c r="AS6" s="506" t="s">
        <v>251</v>
      </c>
      <c r="AT6" s="507"/>
      <c r="AU6" s="507"/>
      <c r="AV6" s="508"/>
      <c r="AX6" s="304" t="b">
        <f t="shared" si="1"/>
        <v>0</v>
      </c>
      <c r="AY6" s="305" t="str">
        <f t="shared" si="0"/>
        <v/>
      </c>
      <c r="AZ6" s="306" t="str">
        <f>IF($AX6,VLOOKUP($AY6,Fuels!$A$2:$E$3,AZ$30),"")</f>
        <v/>
      </c>
      <c r="BA6" s="306" t="str">
        <f>IF($AX6,VLOOKUP($AY6,Fuels!$A$2:$E$3,BA$30),"")</f>
        <v/>
      </c>
      <c r="BB6" s="306" t="str">
        <f>IF($AX6,VLOOKUP($AY6,Fuels!$A$2:$E$3,BB$30),"")</f>
        <v/>
      </c>
      <c r="BC6" s="306" t="str">
        <f>IF($AX6,VLOOKUP($AY6,Fuels!$A$2:$E$3,BC$30),"")</f>
        <v/>
      </c>
      <c r="BD6" s="306" t="str">
        <f>IF($AX6,-VLOOKUP($AY6,Fuels!$A$2:$F$3,BD$30),"")</f>
        <v/>
      </c>
      <c r="BO6" s="509" t="s">
        <v>254</v>
      </c>
      <c r="BP6" s="510"/>
      <c r="BQ6" s="510"/>
      <c r="BR6" s="510"/>
      <c r="BS6" s="510"/>
      <c r="BT6" s="510"/>
      <c r="BU6" s="510"/>
      <c r="BV6" s="510"/>
      <c r="BW6" s="511"/>
      <c r="CE6" s="121">
        <v>2</v>
      </c>
      <c r="CF6" s="184" t="s">
        <v>260</v>
      </c>
      <c r="CH6" s="258" t="s">
        <v>303</v>
      </c>
      <c r="CI6" s="259"/>
      <c r="CJ6" s="259"/>
      <c r="CK6" s="261">
        <f>N3</f>
        <v>3002</v>
      </c>
      <c r="CZ6" s="121">
        <v>2</v>
      </c>
      <c r="DA6" s="118" t="s">
        <v>329</v>
      </c>
      <c r="DB6" s="46">
        <f>COUNTA(Stores!F201:F470)</f>
        <v>4</v>
      </c>
      <c r="DC6" s="59" t="str">
        <f>CONCATENATE("Stores!F201:F",DB6+201)</f>
        <v>Stores!F201:F205</v>
      </c>
      <c r="DD6" s="356" t="s">
        <v>348</v>
      </c>
      <c r="DE6" s="46" t="str">
        <f>AC9</f>
        <v>16S1700, 16E10100 ACRIU</v>
      </c>
      <c r="DF6" s="59" t="s">
        <v>354</v>
      </c>
      <c r="DH6" s="121">
        <v>4</v>
      </c>
      <c r="DI6" s="184" t="s">
        <v>375</v>
      </c>
    </row>
    <row r="7" spans="1:113" ht="15.75" customHeight="1" thickBot="1">
      <c r="D7" s="397" t="s">
        <v>650</v>
      </c>
      <c r="E7" s="177"/>
      <c r="F7" s="178"/>
      <c r="O7" s="212">
        <v>11</v>
      </c>
      <c r="P7" s="213">
        <v>12</v>
      </c>
      <c r="R7" s="276"/>
      <c r="S7" s="223"/>
      <c r="Y7" s="223">
        <v>6</v>
      </c>
      <c r="AA7" s="354">
        <v>2</v>
      </c>
      <c r="AB7" s="348">
        <v>5</v>
      </c>
      <c r="AC7" s="348" t="str">
        <f>INDEX(Stores!$F$502:$J$600,Calculations!$AB7,AC$29)</f>
        <v>AIM-9L OR -9M</v>
      </c>
      <c r="AD7" s="348">
        <f>INDEX(Stores!$F$502:$J$600,Calculations!$AB7,AD$29)</f>
        <v>195</v>
      </c>
      <c r="AE7" s="348">
        <f>INDEX(Stores!$F$502:$J$600,Calculations!$AB7,AE$29)</f>
        <v>691.86</v>
      </c>
      <c r="AF7" s="348">
        <f>-INDEX(Stores!$F$502:$J$600,Calculations!$AB7,AF$29)</f>
        <v>-306.14999999999998</v>
      </c>
      <c r="AG7" s="349">
        <v>1</v>
      </c>
      <c r="AI7" s="47" t="s">
        <v>659</v>
      </c>
      <c r="AJ7" s="46">
        <v>195</v>
      </c>
      <c r="AK7" s="46">
        <v>691.86</v>
      </c>
      <c r="AL7" s="59">
        <v>-306.14999999999998</v>
      </c>
      <c r="AM7" s="13"/>
      <c r="AN7" s="47" t="s">
        <v>467</v>
      </c>
      <c r="AO7" s="46">
        <v>467</v>
      </c>
      <c r="AP7" s="46">
        <v>1484.99929</v>
      </c>
      <c r="AQ7" s="59">
        <v>331.57</v>
      </c>
      <c r="AS7" s="97" t="s">
        <v>249</v>
      </c>
      <c r="AT7" s="98"/>
      <c r="AU7" s="98">
        <v>-265</v>
      </c>
      <c r="AV7" s="99">
        <v>-505</v>
      </c>
      <c r="AX7" s="304" t="b">
        <f t="shared" si="1"/>
        <v>0</v>
      </c>
      <c r="AY7" s="305" t="str">
        <f t="shared" si="0"/>
        <v/>
      </c>
      <c r="AZ7" s="306" t="str">
        <f>IF($AX7,VLOOKUP($AY7,Fuels!$A$2:$E$3,AZ$30),"")</f>
        <v/>
      </c>
      <c r="BA7" s="306" t="str">
        <f>IF($AX7,VLOOKUP($AY7,Fuels!$A$2:$E$3,BA$30),"")</f>
        <v/>
      </c>
      <c r="BB7" s="306" t="str">
        <f>IF($AX7,VLOOKUP($AY7,Fuels!$A$2:$E$3,BB$30),"")</f>
        <v/>
      </c>
      <c r="BC7" s="306" t="str">
        <f>IF($AX7,VLOOKUP($AY7,Fuels!$A$2:$E$3,BC$30),"")</f>
        <v/>
      </c>
      <c r="BD7" s="306" t="str">
        <f>IF($AX7,-VLOOKUP($AY7,Fuels!$A$2:$F$3,BD$30),"")</f>
        <v/>
      </c>
      <c r="BO7" s="135">
        <v>31407</v>
      </c>
      <c r="BP7" s="135">
        <f>MROUND(BO7,100)</f>
        <v>31400</v>
      </c>
      <c r="BQ7" s="135">
        <f>VLOOKUP($BP$7,'NW Limits'!A7:E232,2)</f>
        <v>0.26100000000000001</v>
      </c>
      <c r="BR7" s="135">
        <f>VLOOKUP($BP$7,'NW Limits'!A7:E232,5)</f>
        <v>0.45200000000000001</v>
      </c>
      <c r="BS7" s="135">
        <f>VLOOKUP($BP$7,'NW Limits'!$F$3:$H$276,2)</f>
        <v>0.26100000000000001</v>
      </c>
      <c r="BT7" s="156">
        <f>VLOOKUP($BP$7,'NW Limits'!$F$3:$H$276,3)</f>
        <v>0.45200000000000001</v>
      </c>
      <c r="BU7" s="134" t="b">
        <f>OR(NOT(ISERROR(SEARCH("40", $H$3))),NOT(ISERROR(SEARCH("50", $H$3))))</f>
        <v>1</v>
      </c>
      <c r="BV7" s="135">
        <f>IF(BU7,BS7,BQ7)</f>
        <v>0.26100000000000001</v>
      </c>
      <c r="BW7" s="136">
        <f>IF(BV7,BT7,BR7)</f>
        <v>0.45200000000000001</v>
      </c>
      <c r="CE7" s="355">
        <v>2</v>
      </c>
      <c r="CF7" s="357" t="s">
        <v>409</v>
      </c>
      <c r="CH7" s="256" t="s">
        <v>304</v>
      </c>
      <c r="CI7" s="257"/>
      <c r="CJ7" s="257"/>
      <c r="CK7" s="262">
        <f>MIN(CK3:CK6)</f>
        <v>2361.962683796316</v>
      </c>
      <c r="CZ7" s="121">
        <v>2</v>
      </c>
      <c r="DA7" s="118" t="s">
        <v>399</v>
      </c>
      <c r="DB7" s="46">
        <f>COUNTA(Stores!F502:F600)</f>
        <v>21</v>
      </c>
      <c r="DC7" s="59" t="str">
        <f>CONCATENATE("Stores!F502:F",DB7+502)</f>
        <v>Stores!F502:F523</v>
      </c>
      <c r="DD7" s="356" t="s">
        <v>348</v>
      </c>
      <c r="DE7" s="46" t="str">
        <f>AC8</f>
        <v>66J45517 TER-9/A</v>
      </c>
      <c r="DF7" s="145" t="s">
        <v>394</v>
      </c>
      <c r="DH7" s="121">
        <v>5</v>
      </c>
      <c r="DI7" s="184" t="s">
        <v>376</v>
      </c>
    </row>
    <row r="8" spans="1:113" ht="15.75" customHeight="1" thickBot="1">
      <c r="D8" s="398" t="b">
        <f>IF(O3&gt;I3, TRUE, FALSE)</f>
        <v>0</v>
      </c>
      <c r="T8" s="515" t="s">
        <v>653</v>
      </c>
      <c r="U8" s="516"/>
      <c r="AA8" s="60">
        <v>3</v>
      </c>
      <c r="AB8" s="348">
        <v>75</v>
      </c>
      <c r="AC8" s="348" t="str">
        <f>INDEX(Stores!$K$3:$O$199,Calculations!$AB8,AC$29)</f>
        <v>66J45517 TER-9/A</v>
      </c>
      <c r="AD8" s="348">
        <f>INDEX(Stores!$K$3:$O$199,Calculations!$AB8,AD$29)</f>
        <v>93</v>
      </c>
      <c r="AE8" s="348">
        <f>INDEX(Stores!$K$3:$O$199,Calculations!$AB8,AE$29)</f>
        <v>316.94400000000002</v>
      </c>
      <c r="AF8" s="348">
        <f>-INDEX(Stores!$K$3:$O$199,Calculations!$AB8,AF$29)</f>
        <v>-111.6</v>
      </c>
      <c r="AG8" s="349">
        <v>2</v>
      </c>
      <c r="AI8" s="47" t="s">
        <v>468</v>
      </c>
      <c r="AJ8" s="46">
        <v>278</v>
      </c>
      <c r="AK8" s="46">
        <v>964.38199999999995</v>
      </c>
      <c r="AL8" s="59">
        <v>-333.6</v>
      </c>
      <c r="AM8" s="13"/>
      <c r="AN8" s="47" t="s">
        <v>738</v>
      </c>
      <c r="AO8" s="46">
        <v>93</v>
      </c>
      <c r="AP8" s="46">
        <v>316.94400000000002</v>
      </c>
      <c r="AQ8" s="59">
        <v>111.6</v>
      </c>
      <c r="AS8" s="100" t="s">
        <v>250</v>
      </c>
      <c r="AT8" s="101"/>
      <c r="AU8" s="101">
        <v>-50</v>
      </c>
      <c r="AV8" s="102">
        <v>-69</v>
      </c>
      <c r="AX8" s="304" t="b">
        <f t="shared" si="1"/>
        <v>0</v>
      </c>
      <c r="AY8" s="305" t="str">
        <f t="shared" si="0"/>
        <v/>
      </c>
      <c r="AZ8" s="306" t="str">
        <f>IF($AX8,VLOOKUP($AY8,Fuels!$A$2:$E$3,AZ$30),"")</f>
        <v/>
      </c>
      <c r="BA8" s="306" t="str">
        <f>IF($AX8,VLOOKUP($AY8,Fuels!$A$2:$E$3,BA$30),"")</f>
        <v/>
      </c>
      <c r="BB8" s="306" t="str">
        <f>IF($AX8,VLOOKUP($AY8,Fuels!$A$2:$E$3,BB$30),"")</f>
        <v/>
      </c>
      <c r="BC8" s="306" t="str">
        <f>IF($AX8,VLOOKUP($AY8,Fuels!$A$2:$E$3,BC$30),"")</f>
        <v/>
      </c>
      <c r="BD8" s="306" t="str">
        <f>IF($AX8,-VLOOKUP($AY8,Fuels!$A$2:$F$3,BD$30),"")</f>
        <v/>
      </c>
      <c r="CE8" s="121">
        <v>3</v>
      </c>
      <c r="CF8" s="184" t="s">
        <v>261</v>
      </c>
      <c r="CZ8" s="121">
        <v>3</v>
      </c>
      <c r="DA8" s="118" t="s">
        <v>330</v>
      </c>
      <c r="DB8" s="46">
        <f>COUNTA(Stores!K3:K99)</f>
        <v>78</v>
      </c>
      <c r="DC8" s="59" t="str">
        <f>CONCATENATE("Stores!K3:K",DB8+3)</f>
        <v>Stores!K3:K81</v>
      </c>
      <c r="DD8" s="356" t="s">
        <v>349</v>
      </c>
      <c r="DE8" s="46" t="str">
        <f>AC12</f>
        <v>PIVOT BALL &amp; MISC.</v>
      </c>
      <c r="DF8" s="59" t="s">
        <v>355</v>
      </c>
      <c r="DH8" s="121">
        <v>6</v>
      </c>
      <c r="DI8" s="184" t="s">
        <v>377</v>
      </c>
    </row>
    <row r="9" spans="1:113" ht="15.75" customHeight="1" thickBot="1">
      <c r="T9" s="268" t="str">
        <f>IF(BI3=FALSE, U3,CONCATENATE(R3," ",Chin_Station_Config(S3)," ", FALSE))</f>
        <v>CAT III R TRUE</v>
      </c>
      <c r="U9" s="269"/>
      <c r="V9" s="403">
        <f>MAX(VLOOKUP(Calculations!$T$9,Aircraft!$Q$2:$V$17,Calculations!V4),BV3)</f>
        <v>0.32</v>
      </c>
      <c r="W9" s="404">
        <f>MIN(VLOOKUP(T9,Aircraft!Q2:V17,Calculations!W4),BW3)</f>
        <v>0.42499999999999999</v>
      </c>
      <c r="X9" s="404">
        <f>VLOOKUP(T9,Aircraft!Q2:V17,Calculations!X4)</f>
        <v>0.25</v>
      </c>
      <c r="Y9" s="404">
        <f>VLOOKUP(Calculations!$T$9,Aircraft!Q2:V17,Calculations!Y4)</f>
        <v>0.41</v>
      </c>
      <c r="AA9" s="60">
        <v>3</v>
      </c>
      <c r="AB9" s="348">
        <v>3</v>
      </c>
      <c r="AC9" s="348" t="str">
        <f>INDEX(Stores!$K$201:$O$500,Calculations!$AB9,AC$29)</f>
        <v>16S1700, 16E10100 ACRIU</v>
      </c>
      <c r="AD9" s="348">
        <f>INDEX(Stores!$K$201:$O$500,Calculations!$AB9,AD$29)</f>
        <v>278</v>
      </c>
      <c r="AE9" s="348">
        <f>INDEX(Stores!$K$201:$O$500,Calculations!$AB9,AE$29)</f>
        <v>964.38199999999995</v>
      </c>
      <c r="AF9" s="348">
        <f>-INDEX(Stores!$K$201:$O$500,Calculations!$AB9,AF$29)</f>
        <v>-333.6</v>
      </c>
      <c r="AG9" s="349">
        <v>1</v>
      </c>
      <c r="AI9" s="47" t="s">
        <v>462</v>
      </c>
      <c r="AJ9" s="46">
        <v>8</v>
      </c>
      <c r="AK9" s="46">
        <v>26.695999999999998</v>
      </c>
      <c r="AL9" s="59">
        <v>-5.68</v>
      </c>
      <c r="AM9" s="13"/>
      <c r="AN9" s="47" t="s">
        <v>740</v>
      </c>
      <c r="AO9" s="46">
        <v>1530</v>
      </c>
      <c r="AP9" s="46">
        <v>5187.0059999999994</v>
      </c>
      <c r="AQ9" s="59">
        <v>1836</v>
      </c>
      <c r="AS9" s="170" t="s">
        <v>252</v>
      </c>
      <c r="AT9" s="171"/>
      <c r="AU9" s="171">
        <f>IF(AS4="Back Seater", AU7, AU8)</f>
        <v>-265</v>
      </c>
      <c r="AV9" s="172">
        <f>IF(AS4="Back Seater", AV7, AV8)</f>
        <v>-505</v>
      </c>
      <c r="AX9" s="304" t="b">
        <f t="shared" si="1"/>
        <v>0</v>
      </c>
      <c r="AY9" s="305" t="str">
        <f t="shared" si="0"/>
        <v/>
      </c>
      <c r="AZ9" s="306" t="str">
        <f>IF($AX9,VLOOKUP($AY9,Fuels!$A$2:$E$3,AZ$30),"")</f>
        <v/>
      </c>
      <c r="BA9" s="306" t="str">
        <f>IF($AX9,VLOOKUP($AY9,Fuels!$A$2:$E$3,BA$30),"")</f>
        <v/>
      </c>
      <c r="BB9" s="306" t="str">
        <f>IF($AX9,VLOOKUP($AY9,Fuels!$A$2:$E$3,BB$30),"")</f>
        <v/>
      </c>
      <c r="BC9" s="306" t="str">
        <f>IF($AX9,VLOOKUP($AY9,Fuels!$A$2:$E$3,BC$30),"")</f>
        <v/>
      </c>
      <c r="BD9" s="306" t="str">
        <f>IF($AX9,-VLOOKUP($AY9,Fuels!$A$2:$F$3,BD$30),"")</f>
        <v/>
      </c>
      <c r="CE9" s="121">
        <v>3</v>
      </c>
      <c r="CF9" s="184" t="s">
        <v>262</v>
      </c>
      <c r="CZ9" s="121">
        <v>3</v>
      </c>
      <c r="DA9" s="118" t="s">
        <v>331</v>
      </c>
      <c r="DB9" s="46">
        <f>COUNTA(Stores!K201:K470)</f>
        <v>9</v>
      </c>
      <c r="DC9" s="59" t="str">
        <f>CONCATENATE("Stores!K201:K",DB9+201)</f>
        <v>Stores!K201:K210</v>
      </c>
      <c r="DD9" s="356" t="s">
        <v>349</v>
      </c>
      <c r="DE9" s="46" t="str">
        <f>AC11</f>
        <v>370 TANK/PYLON/UNUSABLE FUEL</v>
      </c>
      <c r="DF9" s="145" t="s">
        <v>395</v>
      </c>
      <c r="DH9" s="121">
        <v>7</v>
      </c>
      <c r="DI9" s="184" t="s">
        <v>378</v>
      </c>
    </row>
    <row r="10" spans="1:113" ht="15.75" customHeight="1" thickBot="1">
      <c r="T10" s="515" t="s">
        <v>654</v>
      </c>
      <c r="U10" s="516"/>
      <c r="AA10" s="60">
        <v>3</v>
      </c>
      <c r="AB10" s="348">
        <v>55</v>
      </c>
      <c r="AC10" s="348" t="str">
        <f>INDEX(Stores!$K$502:$O$600,Calculations!$AB10,AC$29)</f>
        <v>BDU-50A/B, /B ALL STATIONS</v>
      </c>
      <c r="AD10" s="348">
        <f>INDEX(Stores!$K$502:$O$600,Calculations!$AB10,AD$29)</f>
        <v>1530</v>
      </c>
      <c r="AE10" s="348">
        <f>INDEX(Stores!$K$502:$O$600,Calculations!$AB10,AE$29)</f>
        <v>5187.0059999999994</v>
      </c>
      <c r="AF10" s="348">
        <f>-INDEX(Stores!$K$502:$O$600,Calculations!$AB10,AF$29)</f>
        <v>-1836</v>
      </c>
      <c r="AG10" s="349">
        <v>2</v>
      </c>
      <c r="AI10" s="47" t="s">
        <v>655</v>
      </c>
      <c r="AJ10" s="46">
        <v>160</v>
      </c>
      <c r="AK10" s="46">
        <v>491.52</v>
      </c>
      <c r="AL10" s="59">
        <v>0</v>
      </c>
      <c r="AM10" s="13"/>
      <c r="AN10" s="47"/>
      <c r="AO10" s="46"/>
      <c r="AP10" s="46"/>
      <c r="AQ10" s="59"/>
      <c r="AS10" s="500" t="s">
        <v>284</v>
      </c>
      <c r="AT10" s="501"/>
      <c r="AU10" s="501"/>
      <c r="AV10" s="502"/>
      <c r="AX10" s="304" t="b">
        <f t="shared" si="1"/>
        <v>0</v>
      </c>
      <c r="AY10" s="305" t="str">
        <f t="shared" si="0"/>
        <v/>
      </c>
      <c r="AZ10" s="306" t="str">
        <f>IF($AX10,VLOOKUP($AY10,Fuels!$A$2:$E$3,AZ$30),"")</f>
        <v/>
      </c>
      <c r="BA10" s="306" t="str">
        <f>IF($AX10,VLOOKUP($AY10,Fuels!$A$2:$E$3,BA$30),"")</f>
        <v/>
      </c>
      <c r="BB10" s="306" t="str">
        <f>IF($AX10,VLOOKUP($AY10,Fuels!$A$2:$E$3,BB$30),"")</f>
        <v/>
      </c>
      <c r="BC10" s="306" t="str">
        <f>IF($AX10,VLOOKUP($AY10,Fuels!$A$2:$E$3,BC$30),"")</f>
        <v/>
      </c>
      <c r="BD10" s="306" t="str">
        <f>IF($AX10,-VLOOKUP($AY10,Fuels!$A$2:$F$3,BD$30),"")</f>
        <v/>
      </c>
      <c r="CE10" s="355">
        <v>3</v>
      </c>
      <c r="CF10" s="357" t="s">
        <v>410</v>
      </c>
      <c r="CZ10" s="121">
        <v>3</v>
      </c>
      <c r="DA10" s="118" t="s">
        <v>400</v>
      </c>
      <c r="DB10" s="46">
        <f>COUNTA(Stores!K502:K600)</f>
        <v>56</v>
      </c>
      <c r="DC10" s="59" t="str">
        <f>CONCATENATE("Stores!K502:K",DB10+502)</f>
        <v>Stores!K502:K558</v>
      </c>
      <c r="DD10" s="356" t="s">
        <v>350</v>
      </c>
      <c r="DE10" s="46" t="str">
        <f>AC16</f>
        <v>16S951 UNIVERSAL PYLON (RIU removed)</v>
      </c>
      <c r="DF10" s="59" t="s">
        <v>356</v>
      </c>
      <c r="DH10" s="121">
        <v>8</v>
      </c>
      <c r="DI10" s="184" t="s">
        <v>379</v>
      </c>
    </row>
    <row r="11" spans="1:113" ht="15.75" thickBot="1">
      <c r="T11" s="268" t="str">
        <f>IF(BI4=FALSE, U3,CONCATENATE(R3," ",Chin_Station_Config(S3)," ", FALSE))</f>
        <v>CAT III R FALSE</v>
      </c>
      <c r="U11" s="269"/>
      <c r="V11" s="403">
        <f>MAX(VLOOKUP(Calculations!$T$11,Aircraft!$Q$2:$V$17,Calculations!V4),BV3)</f>
        <v>0.32</v>
      </c>
      <c r="W11" s="404">
        <f>MIN(VLOOKUP(T11,Aircraft!Q2:V17,Calculations!W4),BW3)</f>
        <v>0.42499999999999999</v>
      </c>
      <c r="X11" s="404">
        <f>VLOOKUP(T11,Aircraft!Q2:V17,Calculations!X4)</f>
        <v>0.25</v>
      </c>
      <c r="Y11" s="405">
        <f>VLOOKUP(Calculations!$T$11,Aircraft!Q2:V17,Calculations!Y4)</f>
        <v>0.41</v>
      </c>
      <c r="AA11" s="60">
        <v>4</v>
      </c>
      <c r="AB11" s="348">
        <v>2</v>
      </c>
      <c r="AC11" s="348" t="str">
        <f>INDEX(Stores!$P$3:$T$199,Calculations!$AB11,AC$29)</f>
        <v>370 TANK/PYLON/UNUSABLE FUEL</v>
      </c>
      <c r="AD11" s="348">
        <f>INDEX(Stores!$P$3:$T$199,Calculations!$AB11,AD$29)</f>
        <v>467</v>
      </c>
      <c r="AE11" s="348">
        <f>INDEX(Stores!$P$3:$T$199,Calculations!$AB11,AE$29)</f>
        <v>1484.99929</v>
      </c>
      <c r="AF11" s="348">
        <f>-INDEX(Stores!$P$3:$T$199,Calculations!$AB11,AF$29)</f>
        <v>-331.57</v>
      </c>
      <c r="AG11" s="349">
        <v>2</v>
      </c>
      <c r="AI11" s="47" t="s">
        <v>662</v>
      </c>
      <c r="AJ11" s="46">
        <v>595</v>
      </c>
      <c r="AK11" s="46">
        <v>1267</v>
      </c>
      <c r="AL11" s="59">
        <v>137.40275499999998</v>
      </c>
      <c r="AM11" s="13"/>
      <c r="AN11" s="47"/>
      <c r="AO11" s="46"/>
      <c r="AP11" s="46"/>
      <c r="AQ11" s="59"/>
      <c r="AS11" s="134" t="s">
        <v>255</v>
      </c>
      <c r="AT11" s="135" t="b">
        <v>0</v>
      </c>
      <c r="AU11" s="177"/>
      <c r="AV11" s="178"/>
      <c r="AX11" s="304" t="b">
        <f t="shared" si="1"/>
        <v>1</v>
      </c>
      <c r="AY11" s="305">
        <f t="shared" si="0"/>
        <v>370</v>
      </c>
      <c r="AZ11" s="306">
        <f>IF($AX11,VLOOKUP($AY11,Fuels!$A$2:$E$3,AZ$30),"")</f>
        <v>2516</v>
      </c>
      <c r="BA11" s="306">
        <f>IF($AX11,VLOOKUP($AY11,Fuels!$A$2:$E$3,BA$30),"")</f>
        <v>7566.5</v>
      </c>
      <c r="BB11" s="306">
        <f>IF($AX11,VLOOKUP($AY11,Fuels!$A$2:$E$3,BB$30),"")</f>
        <v>802.5</v>
      </c>
      <c r="BC11" s="306">
        <f>IF($AX11,VLOOKUP($AY11,Fuels!$A$2:$E$3,BC$30),"")</f>
        <v>1905</v>
      </c>
      <c r="BD11" s="306">
        <f>IF($AX11,-VLOOKUP($AY11,Fuels!$A$2:$F$3,BD$30),"")</f>
        <v>-1786.36</v>
      </c>
      <c r="CE11" s="121">
        <v>4</v>
      </c>
      <c r="CF11" s="184" t="s">
        <v>263</v>
      </c>
      <c r="CZ11" s="121">
        <v>4</v>
      </c>
      <c r="DA11" s="118" t="s">
        <v>332</v>
      </c>
      <c r="DB11" s="46">
        <f>COUNTA(Stores!P3:P199)</f>
        <v>1</v>
      </c>
      <c r="DC11" s="59" t="str">
        <f>CONCATENATE("Stores!P3:P",DB11+3)</f>
        <v>Stores!P3:P4</v>
      </c>
      <c r="DD11" s="356" t="s">
        <v>349</v>
      </c>
      <c r="DE11" s="46" t="str">
        <f>AC19</f>
        <v>PIVOT BALL &amp; MISC.</v>
      </c>
      <c r="DF11" s="59" t="s">
        <v>357</v>
      </c>
      <c r="DH11" s="138">
        <v>9</v>
      </c>
      <c r="DI11" s="185" t="s">
        <v>380</v>
      </c>
    </row>
    <row r="12" spans="1:113" ht="15.75" thickBot="1">
      <c r="AA12" s="60">
        <v>4</v>
      </c>
      <c r="AB12" s="348">
        <v>13</v>
      </c>
      <c r="AC12" s="348" t="str">
        <f>INDEX(Stores!$P$201:$T$500,Calculations!$AB12,AC$29)</f>
        <v>PIVOT BALL &amp; MISC.</v>
      </c>
      <c r="AD12" s="348">
        <f>INDEX(Stores!$P$201:$T$500,Calculations!$AB12,AD$29)</f>
        <v>8</v>
      </c>
      <c r="AE12" s="348">
        <f>INDEX(Stores!$P$201:$T$500,Calculations!$AB12,AE$29)</f>
        <v>26.695999999999998</v>
      </c>
      <c r="AF12" s="348">
        <f>-INDEX(Stores!$P$201:$T$500,Calculations!$AB12,AF$29)</f>
        <v>-5.68</v>
      </c>
      <c r="AG12" s="349">
        <v>1</v>
      </c>
      <c r="AI12" s="47" t="s">
        <v>463</v>
      </c>
      <c r="AJ12" s="46">
        <v>8</v>
      </c>
      <c r="AK12" s="46">
        <v>26.695999999999998</v>
      </c>
      <c r="AL12" s="59">
        <v>5.68</v>
      </c>
      <c r="AM12" s="13"/>
      <c r="AN12" s="47"/>
      <c r="AO12" s="46"/>
      <c r="AP12" s="46"/>
      <c r="AQ12" s="59"/>
      <c r="AX12" s="304" t="b">
        <f t="shared" si="1"/>
        <v>0</v>
      </c>
      <c r="AY12" s="305" t="str">
        <f t="shared" si="0"/>
        <v/>
      </c>
      <c r="AZ12" s="306" t="str">
        <f>IF($AX12,VLOOKUP($AY12,Fuels!$A$2:$E$3,AZ$30),"")</f>
        <v/>
      </c>
      <c r="BA12" s="306" t="str">
        <f>IF($AX12,VLOOKUP($AY12,Fuels!$A$2:$E$3,BA$30),"")</f>
        <v/>
      </c>
      <c r="BB12" s="306" t="str">
        <f>IF($AX12,VLOOKUP($AY12,Fuels!$A$2:$E$3,BB$30),"")</f>
        <v/>
      </c>
      <c r="BC12" s="306" t="str">
        <f>IF($AX12,VLOOKUP($AY12,Fuels!$A$2:$E$3,BC$30),"")</f>
        <v/>
      </c>
      <c r="BD12" s="306" t="str">
        <f>IF($AX12,-VLOOKUP($AY12,Fuels!$A$2:$F$3,BD$30),"")</f>
        <v/>
      </c>
      <c r="CE12" s="121">
        <v>4</v>
      </c>
      <c r="CF12" s="184" t="s">
        <v>264</v>
      </c>
      <c r="CZ12" s="121">
        <v>4</v>
      </c>
      <c r="DA12" s="118" t="s">
        <v>333</v>
      </c>
      <c r="DB12" s="46">
        <f>COUNTA(Stores!P201:P470)</f>
        <v>12</v>
      </c>
      <c r="DC12" s="59" t="str">
        <f>CONCATENATE("Stores!P201:P",DB12+201)</f>
        <v>Stores!P201:P213</v>
      </c>
      <c r="DD12" s="356" t="s">
        <v>349</v>
      </c>
      <c r="DE12" s="46" t="str">
        <f>AC18</f>
        <v>370 TANK/PYLON/UNUSABLE FUEL</v>
      </c>
      <c r="DF12" s="145" t="s">
        <v>396</v>
      </c>
    </row>
    <row r="13" spans="1:113" ht="15.75" thickBot="1">
      <c r="AA13" s="60">
        <v>4</v>
      </c>
      <c r="AB13" s="348">
        <v>1</v>
      </c>
      <c r="AC13" s="348">
        <f>INDEX(Stores!$P$502:$T$600,Calculations!$AB13,AC$29)</f>
        <v>0</v>
      </c>
      <c r="AD13" s="348">
        <f>INDEX(Stores!$P$502:$T$600,Calculations!$AB13,AD$29)</f>
        <v>0</v>
      </c>
      <c r="AE13" s="348">
        <f>INDEX(Stores!$P$502:$T$600,Calculations!$AB13,AE$29)</f>
        <v>0</v>
      </c>
      <c r="AF13" s="348">
        <f>-INDEX(Stores!$P$502:$T$600,Calculations!$AB13,AF$29)</f>
        <v>0</v>
      </c>
      <c r="AG13" s="349">
        <v>1</v>
      </c>
      <c r="AI13" s="47" t="s">
        <v>600</v>
      </c>
      <c r="AJ13" s="46">
        <v>278</v>
      </c>
      <c r="AK13" s="46">
        <v>964.38199999999995</v>
      </c>
      <c r="AL13" s="59">
        <v>333.6</v>
      </c>
      <c r="AM13" s="13"/>
      <c r="AN13" s="47"/>
      <c r="AO13" s="46"/>
      <c r="AP13" s="46"/>
      <c r="AQ13" s="59"/>
      <c r="AS13" s="500" t="s">
        <v>389</v>
      </c>
      <c r="AT13" s="501"/>
      <c r="AU13" s="501"/>
      <c r="AV13" s="502"/>
      <c r="AX13" s="304" t="b">
        <f t="shared" si="1"/>
        <v>0</v>
      </c>
      <c r="AY13" s="305" t="str">
        <f t="shared" si="0"/>
        <v/>
      </c>
      <c r="AZ13" s="306" t="str">
        <f>IF($AX13,VLOOKUP($AY13,Fuels!$A$2:$E$3,AZ$30),"")</f>
        <v/>
      </c>
      <c r="BA13" s="306" t="str">
        <f>IF($AX13,VLOOKUP($AY13,Fuels!$A$2:$E$3,BA$30),"")</f>
        <v/>
      </c>
      <c r="BB13" s="306" t="str">
        <f>IF($AX13,VLOOKUP($AY13,Fuels!$A$2:$E$3,BB$30),"")</f>
        <v/>
      </c>
      <c r="BC13" s="306" t="str">
        <f>IF($AX13,VLOOKUP($AY13,Fuels!$A$2:$E$3,BC$30),"")</f>
        <v/>
      </c>
      <c r="BD13" s="306" t="str">
        <f>IF($AX13,-VLOOKUP($AY13,Fuels!$A$2:$F$3,BD$30),"")</f>
        <v/>
      </c>
      <c r="CE13" s="355">
        <v>4</v>
      </c>
      <c r="CF13" s="357" t="s">
        <v>411</v>
      </c>
      <c r="CZ13" s="121">
        <v>4</v>
      </c>
      <c r="DA13" s="118" t="s">
        <v>401</v>
      </c>
      <c r="DB13" s="46">
        <f>COUNTA(Stores!P502:P600)</f>
        <v>0</v>
      </c>
      <c r="DC13" s="59" t="str">
        <f>CONCATENATE("Stores!P502:P",DB13+502)</f>
        <v>Stores!P502:P502</v>
      </c>
      <c r="DD13" s="356" t="s">
        <v>348</v>
      </c>
      <c r="DE13" s="46" t="str">
        <f>AC22</f>
        <v>16S1700, 16E10100 ACRIU</v>
      </c>
      <c r="DF13" s="59" t="s">
        <v>358</v>
      </c>
    </row>
    <row r="14" spans="1:113">
      <c r="AA14" s="60" t="s">
        <v>131</v>
      </c>
      <c r="AB14" s="348">
        <v>1</v>
      </c>
      <c r="AC14" s="348">
        <f>INDEX(Stores!BH3:BL5,Calculations!$AB14,AC$29)</f>
        <v>0</v>
      </c>
      <c r="AD14" s="348">
        <f>INDEX(Stores!BH3:BL5,Calculations!$AB14,AD$29)</f>
        <v>0</v>
      </c>
      <c r="AE14" s="348">
        <f>INDEX(Stores!BH3:BL5,Calculations!$AB14,AE$29)</f>
        <v>0</v>
      </c>
      <c r="AF14" s="348">
        <f>INDEX(Stores!BH3:BL5,Calculations!$AB14,AF$29)</f>
        <v>0</v>
      </c>
      <c r="AG14" s="349">
        <v>1</v>
      </c>
      <c r="AI14" s="47" t="s">
        <v>647</v>
      </c>
      <c r="AJ14" s="46">
        <v>87</v>
      </c>
      <c r="AK14" s="46">
        <v>310.15499999999997</v>
      </c>
      <c r="AL14" s="59">
        <v>136.59</v>
      </c>
      <c r="AM14" s="13"/>
      <c r="AN14" s="47"/>
      <c r="AO14" s="46"/>
      <c r="AP14" s="46"/>
      <c r="AQ14" s="59"/>
      <c r="AS14" s="97" t="s">
        <v>388</v>
      </c>
      <c r="AT14" s="98">
        <v>215</v>
      </c>
      <c r="AU14" s="98">
        <v>436</v>
      </c>
      <c r="AV14" s="99"/>
      <c r="AX14" s="304" t="b">
        <f t="shared" si="1"/>
        <v>0</v>
      </c>
      <c r="AY14" s="305" t="str">
        <f t="shared" si="0"/>
        <v/>
      </c>
      <c r="AZ14" s="306" t="str">
        <f>IF($AX14,VLOOKUP($AY14,Fuels!$A$2:$E$3,AZ$30),"")</f>
        <v/>
      </c>
      <c r="BA14" s="306" t="str">
        <f>IF($AX14,VLOOKUP($AY14,Fuels!$A$2:$E$3,BA$30),"")</f>
        <v/>
      </c>
      <c r="BB14" s="306" t="str">
        <f>IF($AX14,VLOOKUP($AY14,Fuels!$A$2:$E$3,BB$30),"")</f>
        <v/>
      </c>
      <c r="BC14" s="306" t="str">
        <f>IF($AX14,VLOOKUP($AY14,Fuels!$A$2:$E$3,BC$30),"")</f>
        <v/>
      </c>
      <c r="BD14" s="306" t="str">
        <f>IF($AX14,-VLOOKUP($AY14,Fuels!$A$2:$F$3,BD$30),"")</f>
        <v/>
      </c>
      <c r="CE14" s="121" t="s">
        <v>131</v>
      </c>
      <c r="CF14" s="184" t="s">
        <v>265</v>
      </c>
      <c r="CZ14" s="121" t="s">
        <v>131</v>
      </c>
      <c r="DA14" s="118"/>
      <c r="DB14" s="46"/>
      <c r="DC14" s="59"/>
      <c r="DD14" s="356" t="s">
        <v>348</v>
      </c>
      <c r="DE14" s="46" t="str">
        <f>AC21</f>
        <v>66J45517 TER-9/A</v>
      </c>
      <c r="DF14" s="145" t="s">
        <v>397</v>
      </c>
    </row>
    <row r="15" spans="1:113">
      <c r="AA15" s="60">
        <v>5</v>
      </c>
      <c r="AB15" s="348">
        <v>4</v>
      </c>
      <c r="AC15" s="348" t="str">
        <f>INDEX(Stores!$Z$3:$AD$199,Calculations!$AB15,AC$29)</f>
        <v>300 GAL FUEL TANK</v>
      </c>
      <c r="AD15" s="348">
        <f>INDEX(Stores!$Z$3:$AD$199,Calculations!$AB15,AD$29)</f>
        <v>383</v>
      </c>
      <c r="AE15" s="348">
        <f>INDEX(Stores!$Z$3:$AD$199,Calculations!$AB15,AE$29)</f>
        <v>1248.0016700000001</v>
      </c>
      <c r="AF15" s="348">
        <f>INDEX(Stores!$Z$3:$AD$199,Calculations!$AB15,AF$29)</f>
        <v>0</v>
      </c>
      <c r="AG15" s="349">
        <v>2</v>
      </c>
      <c r="AI15" s="47" t="s">
        <v>646</v>
      </c>
      <c r="AJ15" s="46">
        <v>26</v>
      </c>
      <c r="AK15" s="46">
        <v>97.448000000000008</v>
      </c>
      <c r="AL15" s="59">
        <v>40.82</v>
      </c>
      <c r="AM15" s="13"/>
      <c r="AN15" s="47"/>
      <c r="AO15" s="46"/>
      <c r="AP15" s="46"/>
      <c r="AQ15" s="59"/>
      <c r="AX15" s="304" t="b">
        <f t="shared" si="1"/>
        <v>1</v>
      </c>
      <c r="AY15" s="305">
        <f t="shared" si="0"/>
        <v>300</v>
      </c>
      <c r="AZ15" s="306">
        <f>IF($AX15,VLOOKUP($AY15,Fuels!$A$2:$E$3,AZ$30),"")</f>
        <v>2040</v>
      </c>
      <c r="BA15" s="306">
        <f>IF($AX15,VLOOKUP($AY15,Fuels!$A$2:$E$3,BA$30),"")</f>
        <v>6520</v>
      </c>
      <c r="BB15" s="306">
        <f>IF($AX15,VLOOKUP($AY15,Fuels!$A$2:$E$3,BB$30),"")</f>
        <v>0</v>
      </c>
      <c r="BC15" s="306">
        <f>IF($AX15,VLOOKUP($AY15,Fuels!$A$2:$E$3,BC$30),"")</f>
        <v>0</v>
      </c>
      <c r="BD15" s="306">
        <f>IF($AX15,-VLOOKUP($AY15,Fuels!$A$2:$F$3,BD$30),"")</f>
        <v>0</v>
      </c>
      <c r="CE15" s="121">
        <v>5</v>
      </c>
      <c r="CF15" s="184" t="s">
        <v>266</v>
      </c>
      <c r="CZ15" s="121">
        <v>5</v>
      </c>
      <c r="DA15" s="118" t="s">
        <v>334</v>
      </c>
      <c r="DB15" s="46">
        <f>COUNTA(Stores!Z3:Z199)</f>
        <v>18</v>
      </c>
      <c r="DC15" s="59" t="str">
        <f>CONCATENATE("Stores!Z3:Z",DB15+3)</f>
        <v>Stores!Z3:Z21</v>
      </c>
      <c r="DD15" s="356" t="s">
        <v>347</v>
      </c>
      <c r="DE15" s="46" t="str">
        <f>AC25</f>
        <v>16S301 ADAPTER</v>
      </c>
      <c r="DF15" s="59" t="s">
        <v>359</v>
      </c>
    </row>
    <row r="16" spans="1:113">
      <c r="AA16" s="60">
        <v>5</v>
      </c>
      <c r="AB16" s="348">
        <v>4</v>
      </c>
      <c r="AC16" s="348" t="str">
        <f>INDEX(Stores!$Z$201:$AD$500,Calculations!$AB16,AC$29)</f>
        <v>16S951 UNIVERSAL PYLON (RIU removed)</v>
      </c>
      <c r="AD16" s="348">
        <f>INDEX(Stores!$Z$201:$AD$500,Calculations!$AB16,AD$29)</f>
        <v>160</v>
      </c>
      <c r="AE16" s="348">
        <f>INDEX(Stores!$Z$201:$AD$500,Calculations!$AB16,AE$29)</f>
        <v>491.52</v>
      </c>
      <c r="AF16" s="348">
        <f>INDEX(Stores!$Z$201:$AD$500,Calculations!$AB16,AF$29)</f>
        <v>0</v>
      </c>
      <c r="AG16" s="349">
        <v>1</v>
      </c>
      <c r="AI16" s="47" t="s">
        <v>648</v>
      </c>
      <c r="AJ16" s="46">
        <v>195</v>
      </c>
      <c r="AK16" s="46">
        <v>691.86</v>
      </c>
      <c r="AL16" s="59">
        <v>306.14999999999998</v>
      </c>
      <c r="AM16" s="13"/>
      <c r="AN16" s="47"/>
      <c r="AO16" s="46"/>
      <c r="AP16" s="46"/>
      <c r="AQ16" s="59"/>
      <c r="AX16" s="304" t="b">
        <f t="shared" si="1"/>
        <v>0</v>
      </c>
      <c r="AY16" s="305" t="str">
        <f t="shared" si="0"/>
        <v/>
      </c>
      <c r="AZ16" s="306" t="str">
        <f>IF($AX16,VLOOKUP($AY16,Fuels!$A$2:$E$3,AZ$30),"")</f>
        <v/>
      </c>
      <c r="BA16" s="306" t="str">
        <f>IF($AX16,VLOOKUP($AY16,Fuels!$A$2:$E$3,BA$30),"")</f>
        <v/>
      </c>
      <c r="BB16" s="306" t="str">
        <f>IF($AX16,VLOOKUP($AY16,Fuels!$A$2:$E$3,BB$30),"")</f>
        <v/>
      </c>
      <c r="BC16" s="306" t="str">
        <f>IF($AX16,VLOOKUP($AY16,Fuels!$A$2:$E$3,BC$30),"")</f>
        <v/>
      </c>
      <c r="BD16" s="306" t="str">
        <f>IF($AX16,VLOOKUP($AY16,Fuels!$A$2:$F$3,BD$30),"")</f>
        <v/>
      </c>
      <c r="CE16" s="121">
        <v>5</v>
      </c>
      <c r="CF16" s="184" t="s">
        <v>267</v>
      </c>
      <c r="CZ16" s="121">
        <v>5</v>
      </c>
      <c r="DA16" s="118" t="s">
        <v>335</v>
      </c>
      <c r="DB16" s="46">
        <f>COUNTA(Stores!Z201:Z470)</f>
        <v>4</v>
      </c>
      <c r="DC16" s="59" t="str">
        <f>CONCATENATE("Stores!Z201:Z",DB16+201)</f>
        <v>Stores!Z201:Z205</v>
      </c>
      <c r="DD16" s="356" t="s">
        <v>347</v>
      </c>
      <c r="DE16" s="46" t="str">
        <f>AC24</f>
        <v>LAU-129/A LAUNCHER</v>
      </c>
      <c r="DF16" s="145" t="s">
        <v>398</v>
      </c>
    </row>
    <row r="17" spans="27:110">
      <c r="AA17" s="60" t="s">
        <v>132</v>
      </c>
      <c r="AB17" s="348">
        <v>3</v>
      </c>
      <c r="AC17" s="348" t="str">
        <f>INDEX(Stores!$BM3:$BQ8,Calculations!$AB17,AC$29)</f>
        <v>LANTIRN TARGETING POD</v>
      </c>
      <c r="AD17" s="348">
        <f>INDEX(Stores!$BM3:$BQ8,Calculations!$AB17,AD$29)</f>
        <v>595</v>
      </c>
      <c r="AE17" s="348">
        <f>INDEX(Stores!$BM3:$BQ8,Calculations!$AB17,AE$29)</f>
        <v>1267</v>
      </c>
      <c r="AF17" s="348">
        <f>INDEX(Stores!$BM3:$BQ8,Calculations!$AB17,AF$29)</f>
        <v>137.40275499999998</v>
      </c>
      <c r="AG17" s="349">
        <v>1</v>
      </c>
      <c r="AI17" s="47" t="s">
        <v>661</v>
      </c>
      <c r="AJ17" s="46">
        <v>195</v>
      </c>
      <c r="AK17" s="46">
        <v>710.77499999999998</v>
      </c>
      <c r="AL17" s="59">
        <v>368.745</v>
      </c>
      <c r="AM17" s="13"/>
      <c r="AN17" s="47"/>
      <c r="AO17" s="46"/>
      <c r="AP17" s="46"/>
      <c r="AQ17" s="59"/>
      <c r="AX17" s="304" t="b">
        <f t="shared" si="1"/>
        <v>0</v>
      </c>
      <c r="AY17" s="305" t="str">
        <f t="shared" si="0"/>
        <v/>
      </c>
      <c r="AZ17" s="306" t="str">
        <f>IF($AX17,VLOOKUP($AY17,Fuels!$A$2:$E$3,AZ$30),"")</f>
        <v/>
      </c>
      <c r="BA17" s="306" t="str">
        <f>IF($AX17,VLOOKUP($AY17,Fuels!$A$2:$E$3,BA$30),"")</f>
        <v/>
      </c>
      <c r="BB17" s="306" t="str">
        <f>IF($AX17,VLOOKUP($AY17,Fuels!$A$2:$E$3,BB$30),"")</f>
        <v/>
      </c>
      <c r="BC17" s="306" t="str">
        <f>IF($AX17,VLOOKUP($AY17,Fuels!$A$2:$E$3,BC$30),"")</f>
        <v/>
      </c>
      <c r="BD17" s="306" t="str">
        <f>IF($AX17,VLOOKUP($AY17,Fuels!$A$2:$F$3,BD$30),"")</f>
        <v/>
      </c>
      <c r="CE17" s="121" t="s">
        <v>132</v>
      </c>
      <c r="CF17" s="184" t="s">
        <v>268</v>
      </c>
      <c r="CZ17" s="121" t="s">
        <v>132</v>
      </c>
      <c r="DA17" s="118"/>
      <c r="DB17" s="46"/>
      <c r="DC17" s="59"/>
      <c r="DD17" s="356" t="s">
        <v>6</v>
      </c>
      <c r="DE17" s="46" t="str">
        <f>AC28</f>
        <v>LAU-129/A LAUNCHER</v>
      </c>
      <c r="DF17" s="59" t="s">
        <v>360</v>
      </c>
    </row>
    <row r="18" spans="27:110">
      <c r="AA18" s="60">
        <v>6</v>
      </c>
      <c r="AB18" s="348">
        <v>2</v>
      </c>
      <c r="AC18" s="348" t="str">
        <f>INDEX(Stores!$AJ$3:$AN$199,Calculations!$AB18,AC$29)</f>
        <v>370 TANK/PYLON/UNUSABLE FUEL</v>
      </c>
      <c r="AD18" s="348">
        <f>INDEX(Stores!$AJ$3:$AN$199,Calculations!$AB18,AD$29)</f>
        <v>467</v>
      </c>
      <c r="AE18" s="348">
        <f>INDEX(Stores!$AJ$3:$AN$199,Calculations!$AB18,AE$29)</f>
        <v>1484.99929</v>
      </c>
      <c r="AF18" s="348">
        <f>INDEX(Stores!$AJ$3:$AN$199,Calculations!$AB18,AF$29)</f>
        <v>331.57</v>
      </c>
      <c r="AG18" s="349">
        <v>2</v>
      </c>
      <c r="AI18" s="47" t="s">
        <v>622</v>
      </c>
      <c r="AJ18" s="46">
        <v>15</v>
      </c>
      <c r="AK18" s="46">
        <v>55.95</v>
      </c>
      <c r="AL18" s="59">
        <v>28.364999999999998</v>
      </c>
      <c r="AM18" s="13"/>
      <c r="AN18" s="47"/>
      <c r="AO18" s="46"/>
      <c r="AP18" s="46"/>
      <c r="AQ18" s="59"/>
      <c r="AX18" s="304" t="b">
        <f t="shared" si="1"/>
        <v>1</v>
      </c>
      <c r="AY18" s="305">
        <f t="shared" si="0"/>
        <v>370</v>
      </c>
      <c r="AZ18" s="306">
        <f>IF($AX18,VLOOKUP($AY18,Fuels!$A$2:$E$3,AZ$30),"")</f>
        <v>2516</v>
      </c>
      <c r="BA18" s="306">
        <f>IF($AX18,VLOOKUP($AY18,Fuels!$A$2:$E$3,BA$30),"")</f>
        <v>7566.5</v>
      </c>
      <c r="BB18" s="306">
        <f>IF($AX18,VLOOKUP($AY18,Fuels!$A$2:$E$3,BB$30),"")</f>
        <v>802.5</v>
      </c>
      <c r="BC18" s="306">
        <f>IF($AX18,VLOOKUP($AY18,Fuels!$A$2:$E$3,BC$30),"")</f>
        <v>1905</v>
      </c>
      <c r="BD18" s="306">
        <f>IF($AX18,VLOOKUP($AY18,Fuels!$A$2:$F$3,BD$30),"")</f>
        <v>1786.36</v>
      </c>
      <c r="CE18" s="121">
        <v>6</v>
      </c>
      <c r="CF18" s="184" t="s">
        <v>269</v>
      </c>
      <c r="CZ18" s="121">
        <v>6</v>
      </c>
      <c r="DA18" s="118" t="s">
        <v>336</v>
      </c>
      <c r="DB18" s="46">
        <f>COUNTA(Stores!AJ3:AJ199)</f>
        <v>1</v>
      </c>
      <c r="DC18" s="59" t="str">
        <f>CONCATENATE("Stores!AJ3:AJ",DB18+3)</f>
        <v>Stores!AJ3:AJ4</v>
      </c>
      <c r="DD18" s="188"/>
      <c r="DE18" s="46"/>
      <c r="DF18" s="85"/>
    </row>
    <row r="19" spans="27:110">
      <c r="AA19" s="60">
        <v>6</v>
      </c>
      <c r="AB19" s="348">
        <v>13</v>
      </c>
      <c r="AC19" s="348" t="str">
        <f>INDEX(Stores!$AJ$201:$AN$500,Calculations!$AB19,AC$29)</f>
        <v>PIVOT BALL &amp; MISC.</v>
      </c>
      <c r="AD19" s="348">
        <f>INDEX(Stores!$AJ$201:$AN$500,Calculations!$AB19,AD$29)</f>
        <v>8</v>
      </c>
      <c r="AE19" s="348">
        <f>INDEX(Stores!$AJ$201:$AN$500,Calculations!$AB19,AE$29)</f>
        <v>26.695999999999998</v>
      </c>
      <c r="AF19" s="348">
        <f>INDEX(Stores!$AJ$201:$AN$500,Calculations!$AB19,AF$29)</f>
        <v>5.68</v>
      </c>
      <c r="AG19" s="349">
        <v>1</v>
      </c>
      <c r="AI19" s="47"/>
      <c r="AJ19" s="46"/>
      <c r="AK19" s="46"/>
      <c r="AL19" s="59"/>
      <c r="AM19" s="13"/>
      <c r="AN19" s="47"/>
      <c r="AO19" s="46"/>
      <c r="AP19" s="46"/>
      <c r="AQ19" s="59"/>
      <c r="AX19" s="304" t="b">
        <f t="shared" si="1"/>
        <v>0</v>
      </c>
      <c r="AY19" s="305" t="str">
        <f t="shared" si="0"/>
        <v/>
      </c>
      <c r="AZ19" s="306" t="str">
        <f>IF($AX19,VLOOKUP($AY19,Fuels!$A$2:$E$3,AZ$30),"")</f>
        <v/>
      </c>
      <c r="BA19" s="306" t="str">
        <f>IF($AX19,VLOOKUP($AY19,Fuels!$A$2:$E$3,BA$30),"")</f>
        <v/>
      </c>
      <c r="BB19" s="306" t="str">
        <f>IF($AX19,VLOOKUP($AY19,Fuels!$A$2:$E$3,BB$30),"")</f>
        <v/>
      </c>
      <c r="BC19" s="306" t="str">
        <f>IF($AX19,VLOOKUP($AY19,Fuels!$A$2:$E$3,BC$30),"")</f>
        <v/>
      </c>
      <c r="BD19" s="306" t="str">
        <f>IF($AX19,VLOOKUP($AY19,Fuels!$A$2:$F$3,BD$30),"")</f>
        <v/>
      </c>
      <c r="CE19" s="121">
        <v>6</v>
      </c>
      <c r="CF19" s="184" t="s">
        <v>270</v>
      </c>
      <c r="CZ19" s="121">
        <v>6</v>
      </c>
      <c r="DA19" s="118" t="s">
        <v>337</v>
      </c>
      <c r="DB19" s="46">
        <f>COUNTA(Stores!AJ201:AJ470)</f>
        <v>12</v>
      </c>
      <c r="DC19" s="59" t="str">
        <f>CONCATENATE("Stores!AJ201:AJ",DB19+201)</f>
        <v>Stores!AJ201:AJ213</v>
      </c>
      <c r="DD19" s="188"/>
      <c r="DE19" s="46"/>
      <c r="DF19" s="85"/>
    </row>
    <row r="20" spans="27:110">
      <c r="AA20" s="60">
        <v>6</v>
      </c>
      <c r="AB20" s="348">
        <v>1</v>
      </c>
      <c r="AC20" s="348">
        <f>INDEX(Stores!$AJ$502:$AN$600,Calculations!$AB20,AC$29)</f>
        <v>0</v>
      </c>
      <c r="AD20" s="348">
        <f>INDEX(Stores!$AJ$502:$AN$600,Calculations!$AB20,AD$29)</f>
        <v>0</v>
      </c>
      <c r="AE20" s="348">
        <f>INDEX(Stores!$AJ$502:$AN$600,Calculations!$AB20,AE$29)</f>
        <v>0</v>
      </c>
      <c r="AF20" s="348">
        <f>INDEX(Stores!$AJ$502:$AN$600,Calculations!$AB20,AF$29)</f>
        <v>0</v>
      </c>
      <c r="AG20" s="349">
        <v>1</v>
      </c>
      <c r="AI20" s="47"/>
      <c r="AJ20" s="46"/>
      <c r="AK20" s="46"/>
      <c r="AL20" s="59"/>
      <c r="AM20" s="13"/>
      <c r="AN20" s="47"/>
      <c r="AO20" s="46"/>
      <c r="AP20" s="46"/>
      <c r="AQ20" s="59"/>
      <c r="AX20" s="304" t="b">
        <f t="shared" si="1"/>
        <v>0</v>
      </c>
      <c r="AY20" s="305" t="str">
        <f t="shared" si="0"/>
        <v/>
      </c>
      <c r="AZ20" s="306" t="str">
        <f>IF($AX20,VLOOKUP($AY20,Fuels!$A$2:$E$3,AZ$30),"")</f>
        <v/>
      </c>
      <c r="BA20" s="306" t="str">
        <f>IF($AX20,VLOOKUP($AY20,Fuels!$A$2:$E$3,BA$30),"")</f>
        <v/>
      </c>
      <c r="BB20" s="306" t="str">
        <f>IF($AX20,VLOOKUP($AY20,Fuels!$A$2:$E$3,BB$30),"")</f>
        <v/>
      </c>
      <c r="BC20" s="306" t="str">
        <f>IF($AX20,VLOOKUP($AY20,Fuels!$A$2:$E$3,BC$30),"")</f>
        <v/>
      </c>
      <c r="BD20" s="306" t="str">
        <f>IF($AX20,VLOOKUP($AY20,Fuels!$A$2:$F$3,BD$30),"")</f>
        <v/>
      </c>
      <c r="CE20" s="355">
        <v>6</v>
      </c>
      <c r="CF20" s="357" t="s">
        <v>412</v>
      </c>
      <c r="CZ20" s="121">
        <v>6</v>
      </c>
      <c r="DA20" s="118" t="s">
        <v>403</v>
      </c>
      <c r="DB20" s="46">
        <f>COUNTA(Stores!AJ502:AJ600)</f>
        <v>0</v>
      </c>
      <c r="DC20" s="59" t="str">
        <f>CONCATENATE("Stores!AJ502:AJ",DB20+502)</f>
        <v>Stores!AJ502:AJ502</v>
      </c>
      <c r="DD20" s="188"/>
      <c r="DE20" s="46"/>
      <c r="DF20" s="85"/>
    </row>
    <row r="21" spans="27:110">
      <c r="AA21" s="60">
        <v>7</v>
      </c>
      <c r="AB21" s="348">
        <v>75</v>
      </c>
      <c r="AC21" s="348" t="str">
        <f>INDEX(Stores!$AO$3:$AS$199,Calculations!$AB21,AC$29)</f>
        <v>66J45517 TER-9/A</v>
      </c>
      <c r="AD21" s="348">
        <f>INDEX(Stores!$AO$3:$AS$199,Calculations!$AB21,AD$29)</f>
        <v>93</v>
      </c>
      <c r="AE21" s="348">
        <f>INDEX(Stores!$AO$3:$AS$199,Calculations!$AB21,AE$29)</f>
        <v>316.94400000000002</v>
      </c>
      <c r="AF21" s="348">
        <f>INDEX(Stores!$AO$3:$AS$199,Calculations!$AB21,AF$29)</f>
        <v>111.6</v>
      </c>
      <c r="AG21" s="349">
        <v>2</v>
      </c>
      <c r="AI21" s="47"/>
      <c r="AJ21" s="46"/>
      <c r="AK21" s="46"/>
      <c r="AL21" s="59"/>
      <c r="AM21" s="13"/>
      <c r="AN21" s="47"/>
      <c r="AO21" s="46"/>
      <c r="AP21" s="46"/>
      <c r="AQ21" s="59"/>
      <c r="AX21" s="304" t="b">
        <f t="shared" si="1"/>
        <v>0</v>
      </c>
      <c r="AY21" s="305" t="str">
        <f t="shared" si="0"/>
        <v/>
      </c>
      <c r="AZ21" s="306" t="str">
        <f>IF($AX21,VLOOKUP($AY21,Fuels!$A$2:$E$3,AZ$30),"")</f>
        <v/>
      </c>
      <c r="BA21" s="306" t="str">
        <f>IF($AX21,VLOOKUP($AY21,Fuels!$A$2:$E$3,BA$30),"")</f>
        <v/>
      </c>
      <c r="BB21" s="306" t="str">
        <f>IF($AX21,VLOOKUP($AY21,Fuels!$A$2:$E$3,BB$30),"")</f>
        <v/>
      </c>
      <c r="BC21" s="306" t="str">
        <f>IF($AX21,VLOOKUP($AY21,Fuels!$A$2:$E$3,BC$30),"")</f>
        <v/>
      </c>
      <c r="BD21" s="306" t="str">
        <f>IF($AX21,VLOOKUP($AY21,Fuels!$A$2:$F$3,BD$30),"")</f>
        <v/>
      </c>
      <c r="CE21" s="121">
        <v>7</v>
      </c>
      <c r="CF21" s="184" t="s">
        <v>271</v>
      </c>
      <c r="CZ21" s="121">
        <v>7</v>
      </c>
      <c r="DA21" s="118" t="s">
        <v>338</v>
      </c>
      <c r="DB21" s="46">
        <f>COUNTA(Stores!AO3:AO199)</f>
        <v>78</v>
      </c>
      <c r="DC21" s="59" t="str">
        <f>CONCATENATE("Stores!AO3:AO",DB21+3)</f>
        <v>Stores!AO3:AO81</v>
      </c>
      <c r="DD21" s="188"/>
      <c r="DE21" s="46"/>
      <c r="DF21" s="85"/>
    </row>
    <row r="22" spans="27:110" ht="15.75" thickBot="1">
      <c r="AA22" s="60">
        <v>7</v>
      </c>
      <c r="AB22" s="348">
        <v>3</v>
      </c>
      <c r="AC22" s="348" t="str">
        <f>INDEX(Stores!$AO$201:$AS$500,Calculations!$AB22,AC$29)</f>
        <v>16S1700, 16E10100 ACRIU</v>
      </c>
      <c r="AD22" s="348">
        <f>INDEX(Stores!$AO$201:$AS$500,Calculations!$AB22,AD$29)</f>
        <v>278</v>
      </c>
      <c r="AE22" s="348">
        <f>INDEX(Stores!$AO$201:$AS$500,Calculations!$AB22,AE$29)</f>
        <v>964.38199999999995</v>
      </c>
      <c r="AF22" s="348">
        <f>INDEX(Stores!$AO$201:$AS$500,Calculations!$AB22,AF$29)</f>
        <v>333.6</v>
      </c>
      <c r="AG22" s="349">
        <v>1</v>
      </c>
      <c r="AI22" s="100"/>
      <c r="AJ22" s="101"/>
      <c r="AK22" s="101"/>
      <c r="AL22" s="102"/>
      <c r="AM22" s="13"/>
      <c r="AN22" s="100"/>
      <c r="AO22" s="101"/>
      <c r="AP22" s="101"/>
      <c r="AQ22" s="102"/>
      <c r="AX22" s="304" t="b">
        <f t="shared" si="1"/>
        <v>0</v>
      </c>
      <c r="AY22" s="305" t="str">
        <f t="shared" si="0"/>
        <v/>
      </c>
      <c r="AZ22" s="306" t="str">
        <f>IF($AX22,VLOOKUP($AY22,Fuels!$A$2:$E$3,AZ$30),"")</f>
        <v/>
      </c>
      <c r="BA22" s="306" t="str">
        <f>IF($AX22,VLOOKUP($AY22,Fuels!$A$2:$E$3,BA$30),"")</f>
        <v/>
      </c>
      <c r="BB22" s="306" t="str">
        <f>IF($AX22,VLOOKUP($AY22,Fuels!$A$2:$E$3,BB$30),"")</f>
        <v/>
      </c>
      <c r="BC22" s="306" t="str">
        <f>IF($AX22,VLOOKUP($AY22,Fuels!$A$2:$E$3,BC$30),"")</f>
        <v/>
      </c>
      <c r="BD22" s="306" t="str">
        <f>IF($AX22,VLOOKUP($AY22,Fuels!$A$2:$F$3,BD$30),"")</f>
        <v/>
      </c>
      <c r="CE22" s="121">
        <v>7</v>
      </c>
      <c r="CF22" s="184" t="s">
        <v>272</v>
      </c>
      <c r="CZ22" s="121">
        <v>7</v>
      </c>
      <c r="DA22" s="118" t="s">
        <v>339</v>
      </c>
      <c r="DB22" s="46">
        <f>COUNTA(Stores!AO201:AO470)</f>
        <v>9</v>
      </c>
      <c r="DC22" s="59" t="str">
        <f>CONCATENATE("Stores!AO201:AO",DB22+201)</f>
        <v>Stores!AO201:AO210</v>
      </c>
      <c r="DD22" s="241"/>
      <c r="DE22" s="101"/>
      <c r="DF22" s="329"/>
    </row>
    <row r="23" spans="27:110" ht="15.75" thickBot="1">
      <c r="AA23" s="60">
        <v>7</v>
      </c>
      <c r="AB23" s="348">
        <v>55</v>
      </c>
      <c r="AC23" s="348" t="str">
        <f>INDEX(Stores!$AO$502:$AS$600,Calculations!$AB23,AC$29)</f>
        <v>BDU-50A/B, /B ALL STATIONS</v>
      </c>
      <c r="AD23" s="348">
        <f>INDEX(Stores!$AO$502:$AS$600,Calculations!$AB23,AD$29)</f>
        <v>1530</v>
      </c>
      <c r="AE23" s="348">
        <f>INDEX(Stores!$AO$502:$AS$600,Calculations!$AB23,AE$29)</f>
        <v>5187.0059999999994</v>
      </c>
      <c r="AF23" s="348">
        <f>INDEX(Stores!$AO$502:$AS$600,Calculations!$AB23,AF$29)</f>
        <v>1836</v>
      </c>
      <c r="AG23" s="349">
        <v>2</v>
      </c>
      <c r="AX23" s="304" t="b">
        <f t="shared" si="1"/>
        <v>0</v>
      </c>
      <c r="AY23" s="305" t="str">
        <f t="shared" si="0"/>
        <v/>
      </c>
      <c r="AZ23" s="306" t="str">
        <f>IF($AX23,VLOOKUP($AY23,Fuels!$A$2:$E$3,AZ$30),"")</f>
        <v/>
      </c>
      <c r="BA23" s="306" t="str">
        <f>IF($AX23,VLOOKUP($AY23,Fuels!$A$2:$E$3,BA$30),"")</f>
        <v/>
      </c>
      <c r="BB23" s="306" t="str">
        <f>IF($AX23,VLOOKUP($AY23,Fuels!$A$2:$E$3,BB$30),"")</f>
        <v/>
      </c>
      <c r="BC23" s="306" t="str">
        <f>IF($AX23,VLOOKUP($AY23,Fuels!$A$2:$E$3,BC$30),"")</f>
        <v/>
      </c>
      <c r="BD23" s="306" t="str">
        <f>IF($AX23,VLOOKUP($AY23,Fuels!$A$2:$F$3,BD$30),"")</f>
        <v/>
      </c>
      <c r="BE23" s="133"/>
      <c r="CE23" s="355">
        <v>7</v>
      </c>
      <c r="CF23" s="357" t="s">
        <v>414</v>
      </c>
      <c r="CZ23" s="121">
        <v>7</v>
      </c>
      <c r="DA23" s="118" t="s">
        <v>404</v>
      </c>
      <c r="DB23" s="46">
        <f>COUNTA(Stores!AO502:AO600)</f>
        <v>56</v>
      </c>
      <c r="DC23" s="59" t="str">
        <f>CONCATENATE("Stores!AO502:AO",DB23+502)</f>
        <v>Stores!AO502:AO558</v>
      </c>
    </row>
    <row r="24" spans="27:110" ht="15.75" thickBot="1">
      <c r="AA24" s="60" t="s">
        <v>317</v>
      </c>
      <c r="AB24" s="348">
        <v>3</v>
      </c>
      <c r="AC24" s="348" t="str">
        <f>INDEX(Stores!$AT$3:$AX$199,Calculations!$AB24,AC$29)</f>
        <v>LAU-129/A LAUNCHER</v>
      </c>
      <c r="AD24" s="348">
        <f>INDEX(Stores!$AT$3:$AX$199,Calculations!$AB24,AD$29)</f>
        <v>87</v>
      </c>
      <c r="AE24" s="348">
        <f>INDEX(Stores!$AT$3:$AX$199,Calculations!$AB24,AE$29)</f>
        <v>310.15499999999997</v>
      </c>
      <c r="AF24" s="348">
        <f>INDEX(Stores!$AT$3:$AX$199,Calculations!$AB24,AF$29)</f>
        <v>136.59</v>
      </c>
      <c r="AG24" s="349">
        <v>1</v>
      </c>
      <c r="AN24" s="412" t="s">
        <v>11</v>
      </c>
      <c r="AO24" s="414"/>
      <c r="AP24" s="414"/>
      <c r="AQ24" s="413"/>
      <c r="AX24" s="304" t="b">
        <f t="shared" si="1"/>
        <v>0</v>
      </c>
      <c r="AY24" s="305" t="str">
        <f t="shared" si="0"/>
        <v/>
      </c>
      <c r="AZ24" s="306" t="str">
        <f>IF($AX24,VLOOKUP($AY24,Fuels!$A$2:$E$3,AZ$30),"")</f>
        <v/>
      </c>
      <c r="BA24" s="306" t="str">
        <f>IF($AX24,VLOOKUP($AY24,Fuels!$A$2:$E$3,BA$30),"")</f>
        <v/>
      </c>
      <c r="BB24" s="306" t="str">
        <f>IF($AX24,VLOOKUP($AY24,Fuels!$A$2:$E$3,BB$30),"")</f>
        <v/>
      </c>
      <c r="BC24" s="306" t="str">
        <f>IF($AX24,VLOOKUP($AY24,Fuels!$A$2:$E$3,BC$30),"")</f>
        <v/>
      </c>
      <c r="BD24" s="306" t="str">
        <f>IF($AX24,VLOOKUP($AY24,Fuels!$A$2:$F$3,BD$30),"")</f>
        <v/>
      </c>
      <c r="BE24" s="133"/>
      <c r="CE24" s="121">
        <v>8</v>
      </c>
      <c r="CF24" s="184" t="s">
        <v>273</v>
      </c>
      <c r="CZ24" s="121">
        <v>8</v>
      </c>
      <c r="DA24" s="118" t="s">
        <v>340</v>
      </c>
      <c r="DB24" s="46">
        <f>COUNTA(Stores!AT3:AT199)</f>
        <v>2</v>
      </c>
      <c r="DC24" s="59" t="str">
        <f>CONCATENATE("Stores!AT3:AT",DB24+3)</f>
        <v>Stores!AT3:AT5</v>
      </c>
    </row>
    <row r="25" spans="27:110" ht="24" thickBot="1">
      <c r="AA25" s="60" t="s">
        <v>317</v>
      </c>
      <c r="AB25" s="348">
        <v>5</v>
      </c>
      <c r="AC25" s="348" t="str">
        <f>INDEX(Stores!$AT$201:$AX$500,Calculations!$AB25,AC$29)</f>
        <v>16S301 ADAPTER</v>
      </c>
      <c r="AD25" s="348">
        <f>INDEX(Stores!$AT$201:$AX$500,Calculations!$AB25,AD$29)</f>
        <v>26</v>
      </c>
      <c r="AE25" s="348">
        <f>INDEX(Stores!$AT$201:$AX$500,Calculations!$AB25,AE$29)</f>
        <v>97.448000000000008</v>
      </c>
      <c r="AF25" s="348">
        <f>INDEX(Stores!$AT$201:$AX$500,Calculations!$AB25,AF$29)</f>
        <v>40.82</v>
      </c>
      <c r="AG25" s="349">
        <v>1</v>
      </c>
      <c r="AN25" s="94" t="s">
        <v>2</v>
      </c>
      <c r="AO25" s="95" t="s">
        <v>4</v>
      </c>
      <c r="AP25" s="95" t="s">
        <v>75</v>
      </c>
      <c r="AQ25" s="96" t="s">
        <v>76</v>
      </c>
      <c r="AX25" s="304" t="b">
        <f t="shared" si="1"/>
        <v>0</v>
      </c>
      <c r="AY25" s="305" t="str">
        <f t="shared" si="0"/>
        <v/>
      </c>
      <c r="AZ25" s="306" t="str">
        <f>IF($AX25,VLOOKUP($AY25,Fuels!$A$2:$E$3,AZ$30),"")</f>
        <v/>
      </c>
      <c r="BA25" s="306" t="str">
        <f>IF($AX25,VLOOKUP($AY25,Fuels!$A$2:$E$3,BA$30),"")</f>
        <v/>
      </c>
      <c r="BB25" s="306" t="str">
        <f>IF($AX25,VLOOKUP($AY25,Fuels!$A$2:$E$3,BB$30),"")</f>
        <v/>
      </c>
      <c r="BC25" s="306" t="str">
        <f>IF($AX25,VLOOKUP($AY25,Fuels!$A$2:$E$3,BC$30),"")</f>
        <v/>
      </c>
      <c r="BD25" s="306" t="str">
        <f>IF($AX25,VLOOKUP($AY25,Fuels!$A$2:$F$3,BD$30),"")</f>
        <v/>
      </c>
      <c r="BE25" s="133"/>
      <c r="CE25" s="121">
        <v>8</v>
      </c>
      <c r="CF25" s="184" t="s">
        <v>274</v>
      </c>
      <c r="CZ25" s="121">
        <v>8</v>
      </c>
      <c r="DA25" s="118" t="s">
        <v>341</v>
      </c>
      <c r="DB25" s="46">
        <f>COUNTA(Stores!AT201:AT470)</f>
        <v>4</v>
      </c>
      <c r="DC25" s="59" t="str">
        <f>CONCATENATE("Stores!AT201:AT",DB25+201)</f>
        <v>Stores!AT201:AT205</v>
      </c>
    </row>
    <row r="26" spans="27:110">
      <c r="AA26" s="354">
        <v>8</v>
      </c>
      <c r="AB26" s="348">
        <v>5</v>
      </c>
      <c r="AC26" s="348" t="str">
        <f>INDEX(Stores!$AT$502:$AX$600,Calculations!$AB26,AC$29)</f>
        <v>AIM-9L OR -9M</v>
      </c>
      <c r="AD26" s="348">
        <f>INDEX(Stores!$AT$502:$AX$600,Calculations!$AB26,AD$29)</f>
        <v>195</v>
      </c>
      <c r="AE26" s="348">
        <f>INDEX(Stores!$AT$502:$AX$600,Calculations!$AB26,AE$29)</f>
        <v>691.86</v>
      </c>
      <c r="AF26" s="348">
        <f>INDEX(Stores!$AT$502:$AX$600,Calculations!$AB26,AF$29)</f>
        <v>306.14999999999998</v>
      </c>
      <c r="AG26" s="362">
        <v>1</v>
      </c>
      <c r="AN26" s="97"/>
      <c r="AO26" s="98"/>
      <c r="AP26" s="98"/>
      <c r="AQ26" s="99"/>
      <c r="AX26" s="304" t="b">
        <f t="shared" si="1"/>
        <v>0</v>
      </c>
      <c r="AY26" s="305" t="str">
        <f t="shared" si="0"/>
        <v/>
      </c>
      <c r="AZ26" s="306" t="str">
        <f>IF($AX26,VLOOKUP($AY26,Fuels!$A$2:$E$3,AZ$30),"")</f>
        <v/>
      </c>
      <c r="BA26" s="306" t="str">
        <f>IF($AX26,VLOOKUP($AY26,Fuels!$A$2:$E$3,BA$30),"")</f>
        <v/>
      </c>
      <c r="BB26" s="306" t="str">
        <f>IF($AX26,VLOOKUP($AY26,Fuels!$A$2:$E$3,BB$30),"")</f>
        <v/>
      </c>
      <c r="BC26" s="306" t="str">
        <f>IF($AX26,VLOOKUP($AY26,Fuels!$A$2:$E$3,BC$30),"")</f>
        <v/>
      </c>
      <c r="BD26" s="306" t="str">
        <f>IF($AX26,VLOOKUP($AY26,Fuels!$A$2:$F$3,BD$30),"")</f>
        <v/>
      </c>
      <c r="BE26" s="133"/>
      <c r="CE26" s="355">
        <v>8</v>
      </c>
      <c r="CF26" s="357" t="s">
        <v>413</v>
      </c>
      <c r="CZ26" s="121">
        <v>8</v>
      </c>
      <c r="DA26" s="118" t="s">
        <v>405</v>
      </c>
      <c r="DB26" s="46">
        <f>COUNTA(Stores!AT502:AT600)</f>
        <v>21</v>
      </c>
      <c r="DC26" s="59" t="str">
        <f>CONCATENATE("Stores!AT502:AT",DB26+502)</f>
        <v>Stores!AT502:AT523</v>
      </c>
    </row>
    <row r="27" spans="27:110">
      <c r="AA27" s="60" t="s">
        <v>323</v>
      </c>
      <c r="AB27" s="348">
        <v>5</v>
      </c>
      <c r="AC27" s="348" t="str">
        <f>INDEX(Stores!$AY$3:$BC$199,Calculations!$AB27,AC$29)</f>
        <v>AIM-9L OR -9M</v>
      </c>
      <c r="AD27" s="348">
        <f>INDEX(Stores!$AY$3:$BC$199,Calculations!$AB27,AD$29)</f>
        <v>195</v>
      </c>
      <c r="AE27" s="348">
        <f>INDEX(Stores!$AY$3:$BC$199,Calculations!$AB27,AE$29)</f>
        <v>710.77499999999998</v>
      </c>
      <c r="AF27" s="348">
        <f>INDEX(Stores!$AY$3:$BC$199,Calculations!$AB27,AF$29)</f>
        <v>368.745</v>
      </c>
      <c r="AG27" s="349">
        <v>1</v>
      </c>
      <c r="AN27" s="47"/>
      <c r="AO27" s="46"/>
      <c r="AP27" s="46"/>
      <c r="AQ27" s="59"/>
      <c r="AX27" s="304" t="b">
        <f t="shared" si="1"/>
        <v>0</v>
      </c>
      <c r="AY27" s="305" t="str">
        <f t="shared" si="0"/>
        <v/>
      </c>
      <c r="AZ27" s="306" t="str">
        <f>IF($AX27,VLOOKUP($AY27,Fuels!$A$2:$E$3,AZ$30),"")</f>
        <v/>
      </c>
      <c r="BA27" s="306" t="str">
        <f>IF($AX27,VLOOKUP($AY27,Fuels!$A$2:$E$3,BA$30),"")</f>
        <v/>
      </c>
      <c r="BB27" s="306" t="str">
        <f>IF($AX27,VLOOKUP($AY27,Fuels!$A$2:$E$3,BB$30),"")</f>
        <v/>
      </c>
      <c r="BC27" s="306" t="str">
        <f>IF($AX27,VLOOKUP($AY27,Fuels!$A$2:$E$3,BC$30),"")</f>
        <v/>
      </c>
      <c r="BD27" s="306" t="str">
        <f>IF($AX27,VLOOKUP($AY27,Fuels!$A$2:$F$3,BD$30),"")</f>
        <v/>
      </c>
      <c r="BE27" s="133"/>
      <c r="CE27" s="121">
        <v>9</v>
      </c>
      <c r="CF27" s="184" t="s">
        <v>275</v>
      </c>
      <c r="CZ27" s="121">
        <v>9</v>
      </c>
      <c r="DA27" s="118" t="s">
        <v>342</v>
      </c>
      <c r="DB27" s="46">
        <f>COUNTA(Stores!AY3:AY199)</f>
        <v>20</v>
      </c>
      <c r="DC27" s="59" t="str">
        <f>CONCATENATE("Stores!AY3:AY",DB27+3)</f>
        <v>Stores!AY3:AY23</v>
      </c>
    </row>
    <row r="28" spans="27:110" ht="15.75" thickBot="1">
      <c r="AA28" s="248" t="s">
        <v>323</v>
      </c>
      <c r="AB28" s="83">
        <v>2</v>
      </c>
      <c r="AC28" s="83" t="str">
        <f>INDEX(Stores!$AY$201:$BC$500,Calculations!$AB28,AC$29)</f>
        <v>LAU-129/A LAUNCHER</v>
      </c>
      <c r="AD28" s="83">
        <f>INDEX(Stores!$AY$201:$BC$500,Calculations!$AB28,AD$29)</f>
        <v>15</v>
      </c>
      <c r="AE28" s="83">
        <f>INDEX(Stores!$AY$201:$BC$500,Calculations!$AB28,AE$29)</f>
        <v>55.95</v>
      </c>
      <c r="AF28" s="83">
        <f>INDEX(Stores!$AY$201:$BC$500,Calculations!$AB28,AF$29)</f>
        <v>28.364999999999998</v>
      </c>
      <c r="AG28" s="230">
        <v>1</v>
      </c>
      <c r="AN28" s="47"/>
      <c r="AO28" s="46"/>
      <c r="AP28" s="46"/>
      <c r="AQ28" s="59"/>
      <c r="AX28" s="304" t="b">
        <f t="shared" si="1"/>
        <v>0</v>
      </c>
      <c r="AY28" s="305" t="str">
        <f t="shared" si="0"/>
        <v/>
      </c>
      <c r="AZ28" s="306" t="str">
        <f>IF($AX28,VLOOKUP($AY28,Fuels!$A$2:$E$3,AZ$30),"")</f>
        <v/>
      </c>
      <c r="BA28" s="306" t="str">
        <f>IF($AX28,VLOOKUP($AY28,Fuels!$A$2:$E$3,BA$30),"")</f>
        <v/>
      </c>
      <c r="BB28" s="306" t="str">
        <f>IF($AX28,VLOOKUP($AY28,Fuels!$A$2:$E$3,BB$30),"")</f>
        <v/>
      </c>
      <c r="BC28" s="306" t="str">
        <f>IF($AX28,VLOOKUP($AY28,Fuels!$A$2:$E$3,BC$30),"")</f>
        <v/>
      </c>
      <c r="BD28" s="306" t="str">
        <f>IF($AX28,VLOOKUP($AY28,Fuels!$A$2:$F$3,BD$30),"")</f>
        <v/>
      </c>
      <c r="BG28" s="133"/>
      <c r="CE28" s="138">
        <v>9</v>
      </c>
      <c r="CF28" s="185" t="s">
        <v>276</v>
      </c>
      <c r="CZ28" s="138">
        <v>9</v>
      </c>
      <c r="DA28" s="321" t="s">
        <v>343</v>
      </c>
      <c r="DB28" s="101">
        <f>COUNTA(Stores!AY201:AY470)</f>
        <v>2</v>
      </c>
      <c r="DC28" s="102" t="str">
        <f>CONCATENATE("Stores!AY201:AY",DB28+201)</f>
        <v>Stores!AY201:AY203</v>
      </c>
    </row>
    <row r="29" spans="27:110" ht="15.75" thickBot="1">
      <c r="AA29" s="358" t="s">
        <v>283</v>
      </c>
      <c r="AB29" s="359"/>
      <c r="AC29" s="359">
        <v>1</v>
      </c>
      <c r="AD29" s="359">
        <v>3</v>
      </c>
      <c r="AE29" s="359">
        <v>4</v>
      </c>
      <c r="AF29" s="359">
        <v>5</v>
      </c>
      <c r="AG29" s="360"/>
      <c r="AN29" s="47"/>
      <c r="AO29" s="46"/>
      <c r="AP29" s="46"/>
      <c r="AQ29" s="59"/>
      <c r="AX29" s="339" t="s">
        <v>166</v>
      </c>
      <c r="AY29" s="15"/>
      <c r="AZ29" s="15">
        <f>SUM(AZ3:AZ22)</f>
        <v>7072</v>
      </c>
      <c r="BA29" s="15">
        <f>SUM(BA3:BA22)</f>
        <v>21653</v>
      </c>
      <c r="BB29" s="15">
        <f>SUM(BB3:BB22)</f>
        <v>1605</v>
      </c>
      <c r="BC29" s="15">
        <f>SUM(BC3:BC22)</f>
        <v>3810</v>
      </c>
      <c r="BD29" s="15">
        <f>SUM(BD3:BD22)</f>
        <v>0</v>
      </c>
      <c r="BG29" s="133"/>
    </row>
    <row r="30" spans="27:110" s="204" customFormat="1" ht="15.75" thickBot="1">
      <c r="AN30" s="47"/>
      <c r="AO30" s="46"/>
      <c r="AP30" s="46"/>
      <c r="AQ30" s="59"/>
      <c r="AX30" s="340" t="s">
        <v>285</v>
      </c>
      <c r="AY30" s="341">
        <v>1</v>
      </c>
      <c r="AZ30" s="341">
        <v>2</v>
      </c>
      <c r="BA30" s="341">
        <v>3</v>
      </c>
      <c r="BB30" s="341">
        <v>4</v>
      </c>
      <c r="BC30" s="341">
        <v>5</v>
      </c>
      <c r="BD30" s="342">
        <v>6</v>
      </c>
      <c r="BG30" s="205"/>
      <c r="CZ30" s="13"/>
      <c r="DA30" s="13"/>
      <c r="DB30" s="13"/>
      <c r="DC30" s="13"/>
      <c r="DD30" s="13"/>
      <c r="DE30" s="13"/>
    </row>
    <row r="31" spans="27:110" ht="15.75" thickBot="1">
      <c r="AA31" s="242" t="s">
        <v>3</v>
      </c>
      <c r="AB31" s="243" t="s">
        <v>129</v>
      </c>
      <c r="AC31" s="243" t="s">
        <v>2</v>
      </c>
      <c r="AD31" s="243"/>
      <c r="AE31" s="243"/>
      <c r="AF31" s="243"/>
      <c r="AG31" s="244"/>
      <c r="AN31" s="47"/>
      <c r="AO31" s="46"/>
      <c r="AP31" s="46"/>
      <c r="AQ31" s="59"/>
      <c r="BE31" s="133"/>
    </row>
    <row r="32" spans="27:110">
      <c r="AA32" s="61" t="s">
        <v>322</v>
      </c>
      <c r="AB32" s="62">
        <f>AB3</f>
        <v>5</v>
      </c>
      <c r="AC32" s="62" t="str">
        <f>INDEX(Stores!$A$3:$E$199,Calculations!$AB32,AC$58)</f>
        <v>AIM-9L OR -9M</v>
      </c>
      <c r="AD32" s="1"/>
      <c r="AE32" s="1"/>
      <c r="AF32" s="1"/>
      <c r="AG32" s="245"/>
      <c r="AN32" s="47"/>
      <c r="AO32" s="46"/>
      <c r="AP32" s="46"/>
      <c r="AQ32" s="59"/>
      <c r="BE32" s="133"/>
    </row>
    <row r="33" spans="27:57">
      <c r="AA33" s="60">
        <v>1</v>
      </c>
      <c r="AB33" s="62">
        <f t="shared" ref="AB33:AB56" si="2">AB4</f>
        <v>2</v>
      </c>
      <c r="AC33" s="62" t="str">
        <f>INDEX(Stores!$A$201:$E$500,Calculations!$AB33,AC$58)</f>
        <v>LAU-129/A</v>
      </c>
      <c r="AD33" s="1"/>
      <c r="AE33" s="1"/>
      <c r="AF33" s="1"/>
      <c r="AG33" s="245"/>
      <c r="AN33" s="47"/>
      <c r="AO33" s="46"/>
      <c r="AP33" s="46"/>
      <c r="AQ33" s="59"/>
      <c r="BE33" s="133"/>
    </row>
    <row r="34" spans="27:57">
      <c r="AA34" s="60">
        <v>2</v>
      </c>
      <c r="AB34" s="62">
        <f t="shared" si="2"/>
        <v>3</v>
      </c>
      <c r="AC34" s="62" t="str">
        <f>INDEX(Stores!$F$3:$J$199,Calculations!$AB34,AC$58)</f>
        <v>LAU-129/A</v>
      </c>
      <c r="AD34" s="1"/>
      <c r="AE34" s="1"/>
      <c r="AF34" s="1"/>
      <c r="AG34" s="245"/>
      <c r="AN34" s="47"/>
      <c r="AO34" s="46"/>
      <c r="AP34" s="46"/>
      <c r="AQ34" s="59"/>
      <c r="BE34" s="133"/>
    </row>
    <row r="35" spans="27:57">
      <c r="AA35" s="60">
        <v>2</v>
      </c>
      <c r="AB35" s="62">
        <f t="shared" si="2"/>
        <v>5</v>
      </c>
      <c r="AC35" s="62" t="str">
        <f>INDEX(Stores!$F$201:$J$500,Calculations!$AB35,AC$29)</f>
        <v>16S301 ADAPTER</v>
      </c>
      <c r="AD35" s="246"/>
      <c r="AE35" s="246"/>
      <c r="AF35" s="246"/>
      <c r="AG35" s="247"/>
      <c r="AN35" s="47"/>
      <c r="AO35" s="46"/>
      <c r="AP35" s="46"/>
      <c r="AQ35" s="59"/>
      <c r="BE35" s="133"/>
    </row>
    <row r="36" spans="27:57">
      <c r="AA36" s="354">
        <v>2</v>
      </c>
      <c r="AB36" s="62">
        <f t="shared" si="2"/>
        <v>5</v>
      </c>
      <c r="AC36" s="62" t="str">
        <f>INDEX(Stores!$F$502:$J$600,Calculations!$AB36,AC$29)</f>
        <v>AIM-9L OR -9M</v>
      </c>
      <c r="AD36" s="1"/>
      <c r="AE36" s="1"/>
      <c r="AF36" s="1"/>
      <c r="AG36" s="245"/>
      <c r="AN36" s="47"/>
      <c r="AO36" s="46"/>
      <c r="AP36" s="46"/>
      <c r="AQ36" s="59"/>
      <c r="BE36" s="133"/>
    </row>
    <row r="37" spans="27:57">
      <c r="AA37" s="60">
        <v>3</v>
      </c>
      <c r="AB37" s="62">
        <f t="shared" si="2"/>
        <v>75</v>
      </c>
      <c r="AC37" s="62" t="str">
        <f>INDEX(Stores!$K$3:$O$199,Calculations!$AB37,AC$58)</f>
        <v>TER-9/A</v>
      </c>
      <c r="AD37" s="1"/>
      <c r="AE37" s="1"/>
      <c r="AF37" s="1"/>
      <c r="AG37" s="245"/>
      <c r="AN37" s="47"/>
      <c r="AO37" s="46"/>
      <c r="AP37" s="46"/>
      <c r="AQ37" s="59"/>
      <c r="BE37" s="133"/>
    </row>
    <row r="38" spans="27:57">
      <c r="AA38" s="60" t="s">
        <v>402</v>
      </c>
      <c r="AB38" s="62">
        <f t="shared" si="2"/>
        <v>3</v>
      </c>
      <c r="AC38" s="62" t="str">
        <f>INDEX(Stores!$K$201:$O$500,Calculations!$AB38,AC$58)</f>
        <v>W/P, ACRIU</v>
      </c>
      <c r="AD38" s="1"/>
      <c r="AE38" s="1"/>
      <c r="AF38" s="1"/>
      <c r="AG38" s="245"/>
      <c r="AN38" s="47"/>
      <c r="AO38" s="46"/>
      <c r="AP38" s="46"/>
      <c r="AQ38" s="59"/>
      <c r="BE38" s="133"/>
    </row>
    <row r="39" spans="27:57">
      <c r="AA39" s="354">
        <v>3</v>
      </c>
      <c r="AB39" s="62">
        <f t="shared" si="2"/>
        <v>55</v>
      </c>
      <c r="AC39" s="62" t="str">
        <f>INDEX(Stores!$K$502:$O$600,Calculations!$AB39,AC$58)</f>
        <v>3 x BDU-50</v>
      </c>
      <c r="AD39" s="1"/>
      <c r="AE39" s="1"/>
      <c r="AF39" s="1"/>
      <c r="AG39" s="245"/>
      <c r="AN39" s="47"/>
      <c r="AO39" s="46"/>
      <c r="AP39" s="46"/>
      <c r="AQ39" s="59"/>
      <c r="BE39" s="133"/>
    </row>
    <row r="40" spans="27:57">
      <c r="AA40" s="60">
        <v>4</v>
      </c>
      <c r="AB40" s="62">
        <f t="shared" si="2"/>
        <v>2</v>
      </c>
      <c r="AC40" s="62" t="str">
        <f>INDEX(Stores!$P$3:$T$199,Calculations!$AB40,AC$58)</f>
        <v>370 TANK/PYLON/UNUS</v>
      </c>
      <c r="AD40" s="1"/>
      <c r="AE40" s="1"/>
      <c r="AF40" s="1"/>
      <c r="AG40" s="245"/>
      <c r="AN40" s="47"/>
      <c r="AO40" s="46"/>
      <c r="AP40" s="46"/>
      <c r="AQ40" s="59"/>
      <c r="BE40" s="133"/>
    </row>
    <row r="41" spans="27:57">
      <c r="AA41" s="60">
        <v>4</v>
      </c>
      <c r="AB41" s="62">
        <f t="shared" si="2"/>
        <v>13</v>
      </c>
      <c r="AC41" s="62" t="str">
        <f>INDEX(Stores!$P$201:$T$500,Calculations!$AB41,AC$58)</f>
        <v>PIVOT BALL &amp; MISC.</v>
      </c>
      <c r="AD41" s="1"/>
      <c r="AE41" s="1"/>
      <c r="AF41" s="1"/>
      <c r="AG41" s="245"/>
      <c r="AN41" s="47"/>
      <c r="AO41" s="46"/>
      <c r="AP41" s="46"/>
      <c r="AQ41" s="59"/>
      <c r="BE41" s="133"/>
    </row>
    <row r="42" spans="27:57">
      <c r="AA42" s="354">
        <v>4</v>
      </c>
      <c r="AB42" s="62">
        <f t="shared" si="2"/>
        <v>1</v>
      </c>
      <c r="AC42" s="62">
        <f>INDEX(Stores!$P$502:$T$600,Calculations!$AB42,AC$58)</f>
        <v>0</v>
      </c>
      <c r="AD42" s="1"/>
      <c r="AE42" s="1"/>
      <c r="AF42" s="1"/>
      <c r="AG42" s="245"/>
      <c r="AN42" s="47"/>
      <c r="AO42" s="46"/>
      <c r="AP42" s="46"/>
      <c r="AQ42" s="59"/>
      <c r="BE42" s="133"/>
    </row>
    <row r="43" spans="27:57">
      <c r="AA43" s="60" t="s">
        <v>131</v>
      </c>
      <c r="AB43" s="62">
        <f t="shared" si="2"/>
        <v>1</v>
      </c>
      <c r="AC43" s="62">
        <f>INDEX(Stores!BH3:BL5,Calculations!$AB43,AC$58)</f>
        <v>0</v>
      </c>
      <c r="AD43" s="1"/>
      <c r="AE43" s="1"/>
      <c r="AF43" s="1"/>
      <c r="AG43" s="245"/>
      <c r="AN43" s="47"/>
      <c r="AO43" s="46"/>
      <c r="AP43" s="46"/>
      <c r="AQ43" s="59"/>
      <c r="BE43" s="133"/>
    </row>
    <row r="44" spans="27:57">
      <c r="AA44" s="60">
        <v>5</v>
      </c>
      <c r="AB44" s="62">
        <f t="shared" si="2"/>
        <v>4</v>
      </c>
      <c r="AC44" s="62" t="str">
        <f>INDEX(Stores!$Z$3:$AD$199,Calculations!$AB44,AC$58)</f>
        <v>300 GAL FUEL TANK</v>
      </c>
      <c r="AD44" s="1"/>
      <c r="AE44" s="1"/>
      <c r="AF44" s="1"/>
      <c r="AG44" s="245"/>
      <c r="AN44" s="47"/>
      <c r="AO44" s="46"/>
      <c r="AP44" s="46"/>
      <c r="AQ44" s="59"/>
      <c r="BE44" s="133"/>
    </row>
    <row r="45" spans="27:57" ht="15.75" thickBot="1">
      <c r="AA45" s="60">
        <v>5</v>
      </c>
      <c r="AB45" s="62">
        <f t="shared" si="2"/>
        <v>4</v>
      </c>
      <c r="AC45" s="62" t="str">
        <f>INDEX(Stores!$Z$201:$AD$500,Calculations!$AB45,AC$58)</f>
        <v>16S951, RIU REMOVED</v>
      </c>
      <c r="AD45" s="1"/>
      <c r="AE45" s="1"/>
      <c r="AF45" s="1"/>
      <c r="AG45" s="245"/>
      <c r="AN45" s="100"/>
      <c r="AO45" s="101"/>
      <c r="AP45" s="101"/>
      <c r="AQ45" s="102"/>
    </row>
    <row r="46" spans="27:57" ht="15.75" thickBot="1">
      <c r="AA46" s="60" t="s">
        <v>132</v>
      </c>
      <c r="AB46" s="62">
        <f t="shared" si="2"/>
        <v>3</v>
      </c>
      <c r="AC46" s="62" t="str">
        <f>INDEX(Stores!BM3:BQ8,Calculations!$AB46,AC$58)</f>
        <v>LANTIRN POD</v>
      </c>
      <c r="AD46" s="1"/>
      <c r="AE46" s="1"/>
      <c r="AF46" s="1"/>
      <c r="AG46" s="245"/>
      <c r="AN46" s="179" t="s">
        <v>320</v>
      </c>
      <c r="AO46" s="177">
        <f>SUM(AO26:AO45)</f>
        <v>0</v>
      </c>
      <c r="AP46" s="177">
        <f>SUM(AP26:AP45)</f>
        <v>0</v>
      </c>
      <c r="AQ46" s="178">
        <f>SUM(AQ26:AQ45)</f>
        <v>0</v>
      </c>
    </row>
    <row r="47" spans="27:57">
      <c r="AA47" s="60">
        <v>6</v>
      </c>
      <c r="AB47" s="62">
        <f t="shared" si="2"/>
        <v>2</v>
      </c>
      <c r="AC47" s="62" t="str">
        <f>INDEX(Stores!AJ3:AN199,Calculations!$AB47,AC$58)</f>
        <v>370 TANK/PYLON/UNUS</v>
      </c>
      <c r="AD47" s="1"/>
      <c r="AE47" s="1"/>
      <c r="AF47" s="1"/>
      <c r="AG47" s="245"/>
    </row>
    <row r="48" spans="27:57">
      <c r="AA48" s="60">
        <v>6</v>
      </c>
      <c r="AB48" s="62">
        <f t="shared" si="2"/>
        <v>13</v>
      </c>
      <c r="AC48" s="62" t="str">
        <f>INDEX(Stores!$AJ$201:$AN$500,Calculations!$AB48,AC$58)</f>
        <v>PIVOT BALL &amp; MISC.</v>
      </c>
      <c r="AD48" s="1"/>
      <c r="AE48" s="1"/>
      <c r="AF48" s="1"/>
      <c r="AG48" s="245"/>
    </row>
    <row r="49" spans="27:33">
      <c r="AA49" s="354">
        <v>6</v>
      </c>
      <c r="AB49" s="62">
        <f t="shared" si="2"/>
        <v>1</v>
      </c>
      <c r="AC49" s="62">
        <f>INDEX(Stores!$AJ$502:$AN$600,Calculations!$AB49,AC$58)</f>
        <v>0</v>
      </c>
      <c r="AD49" s="1"/>
      <c r="AE49" s="1"/>
      <c r="AF49" s="1"/>
      <c r="AG49" s="245"/>
    </row>
    <row r="50" spans="27:33">
      <c r="AA50" s="60">
        <v>7</v>
      </c>
      <c r="AB50" s="62">
        <f t="shared" si="2"/>
        <v>75</v>
      </c>
      <c r="AC50" s="62" t="str">
        <f>INDEX(Stores!$AO$3:$AS$199,Calculations!$AB50,AC$58)</f>
        <v>TER-9/A</v>
      </c>
      <c r="AD50" s="1"/>
      <c r="AE50" s="1"/>
      <c r="AF50" s="1"/>
      <c r="AG50" s="245"/>
    </row>
    <row r="51" spans="27:33">
      <c r="AA51" s="60">
        <v>7</v>
      </c>
      <c r="AB51" s="62">
        <f t="shared" si="2"/>
        <v>3</v>
      </c>
      <c r="AC51" s="62" t="str">
        <f>INDEX(Stores!$AO$201:$AS$500,Calculations!$AB51,AC$58)</f>
        <v>W/P, ACRIU</v>
      </c>
      <c r="AD51" s="1"/>
      <c r="AE51" s="1"/>
      <c r="AF51" s="1"/>
      <c r="AG51" s="245"/>
    </row>
    <row r="52" spans="27:33">
      <c r="AA52" s="354">
        <v>7</v>
      </c>
      <c r="AB52" s="62">
        <f t="shared" si="2"/>
        <v>55</v>
      </c>
      <c r="AC52" s="62" t="str">
        <f>INDEX(Stores!$AO$502:$AS$600,Calculations!$AB52,AC$58)</f>
        <v>3 x BDU-50</v>
      </c>
      <c r="AD52" s="1"/>
      <c r="AE52" s="1"/>
      <c r="AF52" s="1"/>
      <c r="AG52" s="245"/>
    </row>
    <row r="53" spans="27:33">
      <c r="AA53" s="60">
        <v>8</v>
      </c>
      <c r="AB53" s="62">
        <f t="shared" si="2"/>
        <v>3</v>
      </c>
      <c r="AC53" s="62" t="str">
        <f>INDEX(Stores!$AT$3:$AX$199,Calculations!$AB53,AC$58)</f>
        <v>LAU-129/A</v>
      </c>
      <c r="AD53" s="1"/>
      <c r="AE53" s="1"/>
      <c r="AF53" s="1"/>
      <c r="AG53" s="245"/>
    </row>
    <row r="54" spans="27:33">
      <c r="AA54" s="60">
        <v>8</v>
      </c>
      <c r="AB54" s="62">
        <f t="shared" si="2"/>
        <v>5</v>
      </c>
      <c r="AC54" s="62" t="str">
        <f>INDEX(Stores!$AT$201:$AX$500,Calculations!$AB54,AC$58)</f>
        <v>16S301</v>
      </c>
      <c r="AD54" s="1"/>
      <c r="AE54" s="1"/>
      <c r="AF54" s="1"/>
      <c r="AG54" s="245"/>
    </row>
    <row r="55" spans="27:33">
      <c r="AA55" s="354">
        <v>8</v>
      </c>
      <c r="AB55" s="62">
        <f t="shared" si="2"/>
        <v>5</v>
      </c>
      <c r="AC55" s="62" t="str">
        <f>INDEX(Stores!$AT$502:$AX$600,Calculations!$AB55,AC$58)</f>
        <v>AIM-9L OR -9M</v>
      </c>
      <c r="AD55" s="1"/>
      <c r="AE55" s="1"/>
      <c r="AF55" s="1"/>
      <c r="AG55" s="245"/>
    </row>
    <row r="56" spans="27:33">
      <c r="AA56" s="60">
        <v>9</v>
      </c>
      <c r="AB56" s="62">
        <f t="shared" si="2"/>
        <v>5</v>
      </c>
      <c r="AC56" s="62" t="str">
        <f>INDEX(Stores!$AY$3:$BC$199,Calculations!$AB56,AC$58)</f>
        <v>AIM-9L OR -9M</v>
      </c>
      <c r="AD56" s="1"/>
      <c r="AE56" s="1"/>
      <c r="AF56" s="1"/>
      <c r="AG56" s="245"/>
    </row>
    <row r="57" spans="27:33" ht="15.75" thickBot="1">
      <c r="AA57" s="248">
        <v>9</v>
      </c>
      <c r="AB57" s="62">
        <f>AB28</f>
        <v>2</v>
      </c>
      <c r="AC57" s="176" t="str">
        <f>INDEX(Stores!$AY$201:$BC$500,Calculations!$AB57,AC$58)</f>
        <v>LAU-129/A</v>
      </c>
      <c r="AD57" s="130"/>
      <c r="AE57" s="130"/>
      <c r="AF57" s="130"/>
      <c r="AG57" s="131"/>
    </row>
    <row r="58" spans="27:33" ht="15.75" thickBot="1">
      <c r="AA58" s="48" t="s">
        <v>283</v>
      </c>
      <c r="AB58" s="49"/>
      <c r="AC58" s="49">
        <v>2</v>
      </c>
      <c r="AD58" s="49">
        <v>7</v>
      </c>
      <c r="AE58" s="49"/>
      <c r="AF58" s="49"/>
      <c r="AG58" s="49"/>
    </row>
    <row r="59" spans="27:33" ht="15.75" thickBot="1"/>
    <row r="60" spans="27:33" ht="15.75" thickBot="1">
      <c r="AA60" s="412" t="s">
        <v>282</v>
      </c>
      <c r="AB60" s="414"/>
      <c r="AC60" s="414"/>
      <c r="AD60" s="414"/>
      <c r="AE60" s="414"/>
      <c r="AF60" s="414"/>
      <c r="AG60" s="413"/>
    </row>
    <row r="61" spans="27:33" ht="15.75" thickBot="1"/>
    <row r="62" spans="27:33" ht="15.75" thickBot="1">
      <c r="AA62" s="350" t="b">
        <v>0</v>
      </c>
      <c r="AB62" s="351"/>
      <c r="AC62" s="351" t="s">
        <v>277</v>
      </c>
      <c r="AD62" s="351">
        <v>19</v>
      </c>
      <c r="AE62" s="351">
        <v>87</v>
      </c>
      <c r="AF62" s="351">
        <v>0</v>
      </c>
      <c r="AG62" s="352"/>
    </row>
  </sheetData>
  <dataConsolidate/>
  <mergeCells count="29">
    <mergeCell ref="T8:U8"/>
    <mergeCell ref="T10:U10"/>
    <mergeCell ref="U5:V5"/>
    <mergeCell ref="CM1:CN1"/>
    <mergeCell ref="A1:Y1"/>
    <mergeCell ref="AN1:AQ1"/>
    <mergeCell ref="AA1:AG1"/>
    <mergeCell ref="AI1:AL1"/>
    <mergeCell ref="AS1:AV1"/>
    <mergeCell ref="CH1:CK1"/>
    <mergeCell ref="CE1:CF1"/>
    <mergeCell ref="BO4:BW4"/>
    <mergeCell ref="BY1:CC1"/>
    <mergeCell ref="BE1:BH1"/>
    <mergeCell ref="BQ1:BR1"/>
    <mergeCell ref="BS1:BT1"/>
    <mergeCell ref="BO1:BP1"/>
    <mergeCell ref="BU1:BW1"/>
    <mergeCell ref="AA60:AG60"/>
    <mergeCell ref="AS13:AV13"/>
    <mergeCell ref="DH1:DI1"/>
    <mergeCell ref="CZ1:DF1"/>
    <mergeCell ref="BJ1:BM1"/>
    <mergeCell ref="AN24:AQ24"/>
    <mergeCell ref="CP1:CU1"/>
    <mergeCell ref="AS10:AV10"/>
    <mergeCell ref="BO6:BW6"/>
    <mergeCell ref="AS6:AV6"/>
    <mergeCell ref="AX1:BD1"/>
  </mergeCells>
  <pageMargins left="0.7" right="0.7" top="0.75" bottom="0.75" header="0.3" footer="0.3"/>
  <pageSetup scale="76" orientation="portrait" r:id="rId1"/>
  <colBreaks count="7" manualBreakCount="7">
    <brk id="12" max="46" man="1"/>
    <brk id="25" max="1048575" man="1"/>
    <brk id="34" max="46" man="1"/>
    <brk id="43" max="1048575" man="1"/>
    <brk id="55" max="1048575" man="1"/>
    <brk id="65" max="1048575" man="1"/>
    <brk id="75" max="1048575" man="1"/>
  </colBreaks>
  <ignoredErrors>
    <ignoredError sqref="AA3 DD10" numberStoredAsText="1"/>
    <ignoredError sqref="DE11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C25"/>
  <sheetViews>
    <sheetView workbookViewId="0">
      <selection activeCell="I38" sqref="I38"/>
    </sheetView>
  </sheetViews>
  <sheetFormatPr defaultRowHeight="15"/>
  <sheetData>
    <row r="1" spans="1:3">
      <c r="A1" t="s">
        <v>191</v>
      </c>
      <c r="B1" t="s">
        <v>76</v>
      </c>
      <c r="C1" t="s">
        <v>192</v>
      </c>
    </row>
    <row r="2" spans="1:3">
      <c r="A2">
        <v>209</v>
      </c>
      <c r="B2">
        <v>496</v>
      </c>
      <c r="C2">
        <f>B2/A2</f>
        <v>2.3732057416267942</v>
      </c>
    </row>
    <row r="3" spans="1:3">
      <c r="A3">
        <v>418</v>
      </c>
      <c r="B3">
        <v>992</v>
      </c>
      <c r="C3">
        <f t="shared" ref="C3:C25" si="0">B3/A3</f>
        <v>2.3732057416267942</v>
      </c>
    </row>
    <row r="4" spans="1:3">
      <c r="A4">
        <v>628</v>
      </c>
      <c r="B4">
        <v>1491</v>
      </c>
      <c r="C4">
        <f t="shared" si="0"/>
        <v>2.3742038216560508</v>
      </c>
    </row>
    <row r="5" spans="1:3">
      <c r="A5">
        <v>837</v>
      </c>
      <c r="B5">
        <v>1987</v>
      </c>
      <c r="C5">
        <f t="shared" si="0"/>
        <v>2.3739545997610514</v>
      </c>
    </row>
    <row r="6" spans="1:3">
      <c r="A6">
        <v>1046</v>
      </c>
      <c r="B6">
        <v>2483</v>
      </c>
      <c r="C6">
        <f t="shared" si="0"/>
        <v>2.3738049713193115</v>
      </c>
    </row>
    <row r="7" spans="1:3">
      <c r="A7">
        <v>1255</v>
      </c>
      <c r="B7">
        <v>2979</v>
      </c>
      <c r="C7">
        <f t="shared" si="0"/>
        <v>2.3737051792828687</v>
      </c>
    </row>
    <row r="8" spans="1:3">
      <c r="A8">
        <v>1465</v>
      </c>
      <c r="B8">
        <v>3478</v>
      </c>
      <c r="C8">
        <f t="shared" si="0"/>
        <v>2.3740614334470989</v>
      </c>
    </row>
    <row r="9" spans="1:3">
      <c r="A9">
        <v>1605</v>
      </c>
      <c r="B9">
        <v>3810</v>
      </c>
      <c r="C9">
        <f t="shared" si="0"/>
        <v>2.3738317757009346</v>
      </c>
    </row>
    <row r="10" spans="1:3">
      <c r="A10">
        <v>1883</v>
      </c>
      <c r="B10">
        <v>4837</v>
      </c>
      <c r="C10">
        <f t="shared" si="0"/>
        <v>2.5687732342007434</v>
      </c>
    </row>
    <row r="11" spans="1:3">
      <c r="A11">
        <v>2092</v>
      </c>
      <c r="B11">
        <v>5609</v>
      </c>
      <c r="C11">
        <f t="shared" si="0"/>
        <v>2.681166347992352</v>
      </c>
    </row>
    <row r="12" spans="1:3">
      <c r="A12">
        <v>2302</v>
      </c>
      <c r="B12">
        <v>6385</v>
      </c>
      <c r="C12">
        <f t="shared" si="0"/>
        <v>2.7736750651607296</v>
      </c>
    </row>
    <row r="13" spans="1:3">
      <c r="A13">
        <v>2510</v>
      </c>
      <c r="B13">
        <v>7153</v>
      </c>
      <c r="C13">
        <f t="shared" si="0"/>
        <v>2.8498007968127488</v>
      </c>
    </row>
    <row r="14" spans="1:3">
      <c r="A14">
        <v>2747</v>
      </c>
      <c r="B14">
        <v>8029</v>
      </c>
      <c r="C14">
        <f t="shared" si="0"/>
        <v>2.9228248998907898</v>
      </c>
    </row>
    <row r="15" spans="1:3">
      <c r="A15">
        <v>2929</v>
      </c>
      <c r="B15">
        <v>8595</v>
      </c>
      <c r="C15">
        <f t="shared" si="0"/>
        <v>2.9344486172755206</v>
      </c>
    </row>
    <row r="16" spans="1:3">
      <c r="A16">
        <v>3138</v>
      </c>
      <c r="B16">
        <v>9244</v>
      </c>
      <c r="C16">
        <f t="shared" si="0"/>
        <v>2.9458253664754621</v>
      </c>
    </row>
    <row r="17" spans="1:3">
      <c r="A17">
        <v>3348</v>
      </c>
      <c r="B17">
        <v>9897</v>
      </c>
      <c r="C17">
        <f t="shared" si="0"/>
        <v>2.9560931899641578</v>
      </c>
    </row>
    <row r="18" spans="1:3">
      <c r="A18">
        <v>3557</v>
      </c>
      <c r="B18" s="139">
        <v>10547</v>
      </c>
      <c r="C18">
        <f t="shared" si="0"/>
        <v>2.9651391622153502</v>
      </c>
    </row>
    <row r="19" spans="1:3">
      <c r="A19">
        <v>3766</v>
      </c>
      <c r="B19" s="139">
        <v>11197</v>
      </c>
      <c r="C19">
        <f t="shared" si="0"/>
        <v>2.9731810939989378</v>
      </c>
    </row>
    <row r="20" spans="1:3">
      <c r="A20">
        <v>3975</v>
      </c>
      <c r="B20" s="139">
        <v>11847</v>
      </c>
      <c r="C20">
        <f t="shared" si="0"/>
        <v>2.980377358490566</v>
      </c>
    </row>
    <row r="21" spans="1:3">
      <c r="A21">
        <v>4185</v>
      </c>
      <c r="B21" s="139">
        <v>12500</v>
      </c>
      <c r="C21">
        <f t="shared" si="0"/>
        <v>2.9868578255675029</v>
      </c>
    </row>
    <row r="22" spans="1:3">
      <c r="A22">
        <v>4394</v>
      </c>
      <c r="B22" s="139">
        <v>13149</v>
      </c>
      <c r="C22">
        <f t="shared" si="0"/>
        <v>2.9924897587619479</v>
      </c>
    </row>
    <row r="23" spans="1:3">
      <c r="A23">
        <v>4603</v>
      </c>
      <c r="B23" s="139">
        <v>13799</v>
      </c>
      <c r="C23">
        <f t="shared" si="0"/>
        <v>2.9978275038018682</v>
      </c>
    </row>
    <row r="24" spans="1:3">
      <c r="A24">
        <v>4812</v>
      </c>
      <c r="B24" s="139">
        <v>14449</v>
      </c>
      <c r="C24">
        <f t="shared" si="0"/>
        <v>3.0027015793848713</v>
      </c>
    </row>
    <row r="25" spans="1:3">
      <c r="A25">
        <v>5032</v>
      </c>
      <c r="B25" s="139">
        <v>15133</v>
      </c>
      <c r="C25">
        <f t="shared" si="0"/>
        <v>3.0073529411764706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3"/>
  <dimension ref="A1:H276"/>
  <sheetViews>
    <sheetView topLeftCell="A238" workbookViewId="0">
      <selection activeCell="J1" sqref="J1:O3"/>
    </sheetView>
  </sheetViews>
  <sheetFormatPr defaultRowHeight="11.25"/>
  <cols>
    <col min="1" max="1" width="9.140625" style="147"/>
    <col min="2" max="4" width="9.140625" style="144"/>
    <col min="5" max="5" width="9.140625" style="145"/>
    <col min="6" max="6" width="9.140625" style="147"/>
    <col min="7" max="7" width="9.140625" style="144"/>
    <col min="8" max="8" width="9.140625" style="145"/>
    <col min="9" max="16384" width="9.140625" style="13"/>
  </cols>
  <sheetData>
    <row r="1" spans="1:8" ht="12" thickBot="1">
      <c r="A1" s="523" t="s">
        <v>204</v>
      </c>
      <c r="B1" s="524"/>
      <c r="C1" s="524"/>
      <c r="D1" s="524"/>
      <c r="E1" s="525"/>
      <c r="F1" s="523" t="s">
        <v>203</v>
      </c>
      <c r="G1" s="524"/>
      <c r="H1" s="525"/>
    </row>
    <row r="2" spans="1:8" s="115" customFormat="1" ht="34.5" thickBot="1">
      <c r="A2" s="148" t="s">
        <v>197</v>
      </c>
      <c r="B2" s="149" t="s">
        <v>198</v>
      </c>
      <c r="C2" s="149" t="s">
        <v>199</v>
      </c>
      <c r="D2" s="149" t="s">
        <v>200</v>
      </c>
      <c r="E2" s="150" t="s">
        <v>201</v>
      </c>
      <c r="F2" s="148" t="s">
        <v>197</v>
      </c>
      <c r="G2" s="149" t="s">
        <v>202</v>
      </c>
      <c r="H2" s="150" t="s">
        <v>201</v>
      </c>
    </row>
    <row r="3" spans="1:8">
      <c r="A3" s="143">
        <v>15000</v>
      </c>
      <c r="B3" s="152">
        <v>0</v>
      </c>
      <c r="C3" s="152">
        <v>0</v>
      </c>
      <c r="D3" s="152">
        <v>8.6999999999999994E-2</v>
      </c>
      <c r="E3" s="152">
        <v>0.41100000000000003</v>
      </c>
      <c r="F3" s="143">
        <v>15000</v>
      </c>
      <c r="G3" s="144">
        <v>0</v>
      </c>
      <c r="H3" s="151">
        <v>0.41099999999999998</v>
      </c>
    </row>
    <row r="4" spans="1:8">
      <c r="A4" s="143">
        <v>15100</v>
      </c>
      <c r="B4" s="152">
        <v>0</v>
      </c>
      <c r="C4" s="152">
        <v>0</v>
      </c>
      <c r="D4" s="152">
        <v>0.09</v>
      </c>
      <c r="E4" s="152">
        <v>0.41100000000000003</v>
      </c>
      <c r="F4" s="143">
        <v>15100</v>
      </c>
      <c r="G4" s="144">
        <v>0</v>
      </c>
      <c r="H4" s="151">
        <v>0.41099999999999998</v>
      </c>
    </row>
    <row r="5" spans="1:8">
      <c r="A5" s="143">
        <v>15200</v>
      </c>
      <c r="B5" s="152">
        <v>0</v>
      </c>
      <c r="C5" s="152">
        <v>0</v>
      </c>
      <c r="D5" s="152">
        <v>9.3000000000000013E-2</v>
      </c>
      <c r="E5" s="152">
        <v>0.41200000000000003</v>
      </c>
      <c r="F5" s="143">
        <v>15200</v>
      </c>
      <c r="G5" s="144">
        <v>0</v>
      </c>
      <c r="H5" s="151">
        <v>0.41199999999999998</v>
      </c>
    </row>
    <row r="6" spans="1:8">
      <c r="A6" s="143">
        <v>15300</v>
      </c>
      <c r="B6" s="152">
        <v>0</v>
      </c>
      <c r="C6" s="152">
        <v>0</v>
      </c>
      <c r="D6" s="152">
        <v>9.6000000000000002E-2</v>
      </c>
      <c r="E6" s="152">
        <v>0.41200000000000003</v>
      </c>
      <c r="F6" s="143">
        <v>15300</v>
      </c>
      <c r="G6" s="144">
        <v>0</v>
      </c>
      <c r="H6" s="151">
        <v>0.41199999999999998</v>
      </c>
    </row>
    <row r="7" spans="1:8">
      <c r="A7" s="143">
        <v>15400</v>
      </c>
      <c r="B7" s="152">
        <v>0</v>
      </c>
      <c r="C7" s="152">
        <v>0</v>
      </c>
      <c r="D7" s="152">
        <v>9.8000000000000004E-2</v>
      </c>
      <c r="E7" s="152">
        <v>0.41299999999999998</v>
      </c>
      <c r="F7" s="143">
        <v>15400</v>
      </c>
      <c r="G7" s="144">
        <v>0</v>
      </c>
      <c r="H7" s="151">
        <v>0.41299999999999998</v>
      </c>
    </row>
    <row r="8" spans="1:8">
      <c r="A8" s="143">
        <v>15500</v>
      </c>
      <c r="B8" s="152">
        <v>0</v>
      </c>
      <c r="C8" s="152">
        <v>0</v>
      </c>
      <c r="D8" s="152">
        <v>0.10099999999999999</v>
      </c>
      <c r="E8" s="152">
        <v>0.41299999999999998</v>
      </c>
      <c r="F8" s="143">
        <v>15500</v>
      </c>
      <c r="G8" s="144">
        <v>0</v>
      </c>
      <c r="H8" s="151">
        <v>0.41299999999999998</v>
      </c>
    </row>
    <row r="9" spans="1:8">
      <c r="A9" s="143">
        <v>15600</v>
      </c>
      <c r="B9" s="152">
        <v>0</v>
      </c>
      <c r="C9" s="152">
        <v>0</v>
      </c>
      <c r="D9" s="152">
        <v>0.10400000000000001</v>
      </c>
      <c r="E9" s="152">
        <v>0.41399999999999998</v>
      </c>
      <c r="F9" s="143">
        <v>15600</v>
      </c>
      <c r="G9" s="144">
        <v>0</v>
      </c>
      <c r="H9" s="151">
        <v>0.41399999999999998</v>
      </c>
    </row>
    <row r="10" spans="1:8">
      <c r="A10" s="143">
        <v>15700</v>
      </c>
      <c r="B10" s="152">
        <v>0</v>
      </c>
      <c r="C10" s="152">
        <v>0</v>
      </c>
      <c r="D10" s="152">
        <v>0.106</v>
      </c>
      <c r="E10" s="152">
        <v>0.41399999999999998</v>
      </c>
      <c r="F10" s="143">
        <v>15700</v>
      </c>
      <c r="G10" s="144">
        <v>0</v>
      </c>
      <c r="H10" s="151">
        <v>0.41399999999999998</v>
      </c>
    </row>
    <row r="11" spans="1:8">
      <c r="A11" s="143">
        <v>15800</v>
      </c>
      <c r="B11" s="152">
        <v>0</v>
      </c>
      <c r="C11" s="152">
        <v>0</v>
      </c>
      <c r="D11" s="152">
        <v>0.109</v>
      </c>
      <c r="E11" s="152">
        <v>0.41499999999999998</v>
      </c>
      <c r="F11" s="143">
        <v>15800</v>
      </c>
      <c r="G11" s="144">
        <v>0</v>
      </c>
      <c r="H11" s="151">
        <v>0.41499999999999998</v>
      </c>
    </row>
    <row r="12" spans="1:8">
      <c r="A12" s="143">
        <v>15900</v>
      </c>
      <c r="B12" s="152">
        <v>0</v>
      </c>
      <c r="C12" s="152">
        <v>0</v>
      </c>
      <c r="D12" s="152">
        <v>0.11199999999999999</v>
      </c>
      <c r="E12" s="152">
        <v>0.41499999999999998</v>
      </c>
      <c r="F12" s="143">
        <v>15900</v>
      </c>
      <c r="G12" s="144">
        <v>0</v>
      </c>
      <c r="H12" s="151">
        <v>0.41499999999999998</v>
      </c>
    </row>
    <row r="13" spans="1:8">
      <c r="A13" s="143">
        <v>16000</v>
      </c>
      <c r="B13" s="152">
        <v>0</v>
      </c>
      <c r="C13" s="152">
        <v>0</v>
      </c>
      <c r="D13" s="152">
        <v>0.114</v>
      </c>
      <c r="E13" s="152">
        <v>0.41600000000000004</v>
      </c>
      <c r="F13" s="143">
        <v>16000</v>
      </c>
      <c r="G13" s="144">
        <v>0</v>
      </c>
      <c r="H13" s="151">
        <v>0.41599999999999998</v>
      </c>
    </row>
    <row r="14" spans="1:8">
      <c r="A14" s="143">
        <v>16100</v>
      </c>
      <c r="B14" s="152">
        <v>0</v>
      </c>
      <c r="C14" s="152">
        <v>0</v>
      </c>
      <c r="D14" s="152">
        <v>0.11699999999999999</v>
      </c>
      <c r="E14" s="152">
        <v>0.41600000000000004</v>
      </c>
      <c r="F14" s="143">
        <v>16100</v>
      </c>
      <c r="G14" s="144">
        <v>0</v>
      </c>
      <c r="H14" s="151">
        <v>0.41599999999999998</v>
      </c>
    </row>
    <row r="15" spans="1:8">
      <c r="A15" s="143">
        <v>16200</v>
      </c>
      <c r="B15" s="152">
        <v>0</v>
      </c>
      <c r="C15" s="152">
        <v>0</v>
      </c>
      <c r="D15" s="152">
        <v>0.11900000000000001</v>
      </c>
      <c r="E15" s="152">
        <v>0.41700000000000004</v>
      </c>
      <c r="F15" s="143">
        <v>16200</v>
      </c>
      <c r="G15" s="144">
        <v>0</v>
      </c>
      <c r="H15" s="151">
        <v>0.41699999999999998</v>
      </c>
    </row>
    <row r="16" spans="1:8">
      <c r="A16" s="143">
        <v>16300</v>
      </c>
      <c r="B16" s="152">
        <v>0</v>
      </c>
      <c r="C16" s="152">
        <v>0</v>
      </c>
      <c r="D16" s="152">
        <v>0.121</v>
      </c>
      <c r="E16" s="152">
        <v>0.41700000000000004</v>
      </c>
      <c r="F16" s="143">
        <v>16300</v>
      </c>
      <c r="G16" s="144">
        <v>0</v>
      </c>
      <c r="H16" s="151">
        <v>0.41699999999999998</v>
      </c>
    </row>
    <row r="17" spans="1:8">
      <c r="A17" s="143">
        <v>16400</v>
      </c>
      <c r="B17" s="152">
        <v>0</v>
      </c>
      <c r="C17" s="152">
        <v>0</v>
      </c>
      <c r="D17" s="152">
        <v>0.124</v>
      </c>
      <c r="E17" s="152">
        <v>0.41799999999999998</v>
      </c>
      <c r="F17" s="143">
        <v>16400</v>
      </c>
      <c r="G17" s="144">
        <v>0</v>
      </c>
      <c r="H17" s="151">
        <v>0.41799999999999998</v>
      </c>
    </row>
    <row r="18" spans="1:8">
      <c r="A18" s="143">
        <v>16500</v>
      </c>
      <c r="B18" s="152">
        <v>0</v>
      </c>
      <c r="C18" s="152">
        <v>0</v>
      </c>
      <c r="D18" s="152">
        <v>0.126</v>
      </c>
      <c r="E18" s="152">
        <v>0.41799999999999998</v>
      </c>
      <c r="F18" s="143">
        <v>16500</v>
      </c>
      <c r="G18" s="144">
        <v>0</v>
      </c>
      <c r="H18" s="151">
        <v>0.41799999999999998</v>
      </c>
    </row>
    <row r="19" spans="1:8">
      <c r="A19" s="143">
        <v>16600</v>
      </c>
      <c r="B19" s="152">
        <v>0</v>
      </c>
      <c r="C19" s="152">
        <v>0</v>
      </c>
      <c r="D19" s="152">
        <v>0.129</v>
      </c>
      <c r="E19" s="152">
        <v>0.41799999999999998</v>
      </c>
      <c r="F19" s="143">
        <v>16600</v>
      </c>
      <c r="G19" s="144">
        <v>0</v>
      </c>
      <c r="H19" s="151">
        <v>0.41799999999999998</v>
      </c>
    </row>
    <row r="20" spans="1:8">
      <c r="A20" s="143">
        <v>16700</v>
      </c>
      <c r="B20" s="152">
        <v>0</v>
      </c>
      <c r="C20" s="152">
        <v>0</v>
      </c>
      <c r="D20" s="152">
        <v>0.13100000000000001</v>
      </c>
      <c r="E20" s="152">
        <v>0.41899999999999998</v>
      </c>
      <c r="F20" s="143">
        <v>16700</v>
      </c>
      <c r="G20" s="144">
        <v>0</v>
      </c>
      <c r="H20" s="151">
        <v>0.41899999999999998</v>
      </c>
    </row>
    <row r="21" spans="1:8">
      <c r="A21" s="143">
        <v>16800</v>
      </c>
      <c r="B21" s="152">
        <v>0</v>
      </c>
      <c r="C21" s="152">
        <v>0</v>
      </c>
      <c r="D21" s="152">
        <v>0.13300000000000001</v>
      </c>
      <c r="E21" s="152">
        <v>0.41899999999999998</v>
      </c>
      <c r="F21" s="143">
        <v>16800</v>
      </c>
      <c r="G21" s="144">
        <v>0</v>
      </c>
      <c r="H21" s="151">
        <v>0.41899999999999998</v>
      </c>
    </row>
    <row r="22" spans="1:8">
      <c r="A22" s="143">
        <v>16900</v>
      </c>
      <c r="B22" s="152">
        <v>0</v>
      </c>
      <c r="C22" s="152">
        <v>0</v>
      </c>
      <c r="D22" s="152">
        <v>0.13500000000000001</v>
      </c>
      <c r="E22" s="152">
        <v>0.42</v>
      </c>
      <c r="F22" s="143">
        <v>16900</v>
      </c>
      <c r="G22" s="144">
        <v>0</v>
      </c>
      <c r="H22" s="151">
        <v>0.42</v>
      </c>
    </row>
    <row r="23" spans="1:8">
      <c r="A23" s="143">
        <v>17000</v>
      </c>
      <c r="B23" s="152">
        <v>0</v>
      </c>
      <c r="C23" s="152">
        <v>0</v>
      </c>
      <c r="D23" s="152">
        <v>0.13800000000000001</v>
      </c>
      <c r="E23" s="152">
        <v>0.42</v>
      </c>
      <c r="F23" s="143">
        <v>17000</v>
      </c>
      <c r="G23" s="144">
        <v>0</v>
      </c>
      <c r="H23" s="151">
        <v>0.42</v>
      </c>
    </row>
    <row r="24" spans="1:8">
      <c r="A24" s="143">
        <v>17100</v>
      </c>
      <c r="B24" s="152">
        <v>0</v>
      </c>
      <c r="C24" s="152">
        <v>0</v>
      </c>
      <c r="D24" s="152">
        <v>0.14000000000000001</v>
      </c>
      <c r="E24" s="152">
        <v>0.42</v>
      </c>
      <c r="F24" s="143">
        <v>17100</v>
      </c>
      <c r="G24" s="144">
        <v>0</v>
      </c>
      <c r="H24" s="151">
        <v>0.42</v>
      </c>
    </row>
    <row r="25" spans="1:8">
      <c r="A25" s="143">
        <v>17200</v>
      </c>
      <c r="B25" s="152">
        <v>0</v>
      </c>
      <c r="C25" s="152">
        <v>0</v>
      </c>
      <c r="D25" s="152">
        <v>0.14199999999999999</v>
      </c>
      <c r="E25" s="152">
        <v>0.42100000000000004</v>
      </c>
      <c r="F25" s="143">
        <v>17200</v>
      </c>
      <c r="G25" s="144">
        <v>0</v>
      </c>
      <c r="H25" s="151">
        <v>0.42099999999999999</v>
      </c>
    </row>
    <row r="26" spans="1:8">
      <c r="A26" s="143">
        <v>17300</v>
      </c>
      <c r="B26" s="152">
        <v>0</v>
      </c>
      <c r="C26" s="152">
        <v>0</v>
      </c>
      <c r="D26" s="152">
        <v>0.14400000000000002</v>
      </c>
      <c r="E26" s="152">
        <v>0.42100000000000004</v>
      </c>
      <c r="F26" s="143">
        <v>17300</v>
      </c>
      <c r="G26" s="144">
        <v>0</v>
      </c>
      <c r="H26" s="151">
        <v>0.42099999999999999</v>
      </c>
    </row>
    <row r="27" spans="1:8">
      <c r="A27" s="143">
        <v>17400</v>
      </c>
      <c r="B27" s="152">
        <v>0</v>
      </c>
      <c r="C27" s="152">
        <v>0</v>
      </c>
      <c r="D27" s="152">
        <v>0.14599999999999999</v>
      </c>
      <c r="E27" s="152">
        <v>0.42200000000000004</v>
      </c>
      <c r="F27" s="143">
        <v>17400</v>
      </c>
      <c r="G27" s="144">
        <v>0</v>
      </c>
      <c r="H27" s="151">
        <v>0.42199999999999999</v>
      </c>
    </row>
    <row r="28" spans="1:8">
      <c r="A28" s="143">
        <v>17500</v>
      </c>
      <c r="B28" s="152">
        <v>0</v>
      </c>
      <c r="C28" s="152">
        <v>0</v>
      </c>
      <c r="D28" s="152">
        <v>0.14800000000000002</v>
      </c>
      <c r="E28" s="152">
        <v>0.42200000000000004</v>
      </c>
      <c r="F28" s="143">
        <v>17500</v>
      </c>
      <c r="G28" s="144">
        <v>0</v>
      </c>
      <c r="H28" s="151">
        <v>0.42199999999999999</v>
      </c>
    </row>
    <row r="29" spans="1:8">
      <c r="A29" s="143">
        <v>17600</v>
      </c>
      <c r="B29" s="152">
        <v>0</v>
      </c>
      <c r="C29" s="152">
        <v>0</v>
      </c>
      <c r="D29" s="152">
        <v>0.151</v>
      </c>
      <c r="E29" s="152">
        <v>0.42200000000000004</v>
      </c>
      <c r="F29" s="143">
        <v>17600</v>
      </c>
      <c r="G29" s="144">
        <v>0</v>
      </c>
      <c r="H29" s="151">
        <v>0.42199999999999999</v>
      </c>
    </row>
    <row r="30" spans="1:8">
      <c r="A30" s="143">
        <v>17700</v>
      </c>
      <c r="B30" s="152">
        <v>0</v>
      </c>
      <c r="C30" s="152">
        <v>0</v>
      </c>
      <c r="D30" s="152">
        <v>0.153</v>
      </c>
      <c r="E30" s="152">
        <v>0.42299999999999999</v>
      </c>
      <c r="F30" s="143">
        <v>17700</v>
      </c>
      <c r="G30" s="144">
        <v>0</v>
      </c>
      <c r="H30" s="151">
        <v>0.42299999999999999</v>
      </c>
    </row>
    <row r="31" spans="1:8">
      <c r="A31" s="143">
        <v>17800</v>
      </c>
      <c r="B31" s="152">
        <v>0</v>
      </c>
      <c r="C31" s="152">
        <v>0</v>
      </c>
      <c r="D31" s="152">
        <v>0.155</v>
      </c>
      <c r="E31" s="152">
        <v>0.42299999999999999</v>
      </c>
      <c r="F31" s="143">
        <v>17800</v>
      </c>
      <c r="G31" s="144">
        <v>0</v>
      </c>
      <c r="H31" s="151">
        <v>0.42299999999999999</v>
      </c>
    </row>
    <row r="32" spans="1:8">
      <c r="A32" s="143">
        <v>17900</v>
      </c>
      <c r="B32" s="152">
        <v>0</v>
      </c>
      <c r="C32" s="152">
        <v>0</v>
      </c>
      <c r="D32" s="152">
        <v>0.157</v>
      </c>
      <c r="E32" s="152">
        <v>0.42399999999999999</v>
      </c>
      <c r="F32" s="143">
        <v>17900</v>
      </c>
      <c r="G32" s="144">
        <v>0</v>
      </c>
      <c r="H32" s="151">
        <v>0.42399999999999999</v>
      </c>
    </row>
    <row r="33" spans="1:8">
      <c r="A33" s="143">
        <v>18000</v>
      </c>
      <c r="B33" s="152">
        <v>0</v>
      </c>
      <c r="C33" s="152">
        <v>0</v>
      </c>
      <c r="D33" s="152">
        <v>0.159</v>
      </c>
      <c r="E33" s="152">
        <v>0.42399999999999999</v>
      </c>
      <c r="F33" s="143">
        <v>18000</v>
      </c>
      <c r="G33" s="144">
        <v>0</v>
      </c>
      <c r="H33" s="151">
        <v>0.42399999999999999</v>
      </c>
    </row>
    <row r="34" spans="1:8">
      <c r="A34" s="143">
        <v>18100</v>
      </c>
      <c r="B34" s="152">
        <v>0</v>
      </c>
      <c r="C34" s="152">
        <v>0</v>
      </c>
      <c r="D34" s="152">
        <v>0.161</v>
      </c>
      <c r="E34" s="152">
        <v>0.42399999999999999</v>
      </c>
      <c r="F34" s="143">
        <v>18100</v>
      </c>
      <c r="G34" s="144">
        <v>0</v>
      </c>
      <c r="H34" s="151">
        <v>0.42399999999999999</v>
      </c>
    </row>
    <row r="35" spans="1:8">
      <c r="A35" s="143">
        <v>18200</v>
      </c>
      <c r="B35" s="152">
        <v>0</v>
      </c>
      <c r="C35" s="152">
        <v>0</v>
      </c>
      <c r="D35" s="152">
        <v>0.16300000000000001</v>
      </c>
      <c r="E35" s="152">
        <v>0.42499999999999999</v>
      </c>
      <c r="F35" s="143">
        <v>18200</v>
      </c>
      <c r="G35" s="144">
        <v>0</v>
      </c>
      <c r="H35" s="151">
        <v>0.42499999999999999</v>
      </c>
    </row>
    <row r="36" spans="1:8">
      <c r="A36" s="143">
        <v>18300</v>
      </c>
      <c r="B36" s="152">
        <v>0</v>
      </c>
      <c r="C36" s="152">
        <v>0</v>
      </c>
      <c r="D36" s="152">
        <v>0.16500000000000001</v>
      </c>
      <c r="E36" s="152">
        <v>0.42499999999999999</v>
      </c>
      <c r="F36" s="143">
        <v>18300</v>
      </c>
      <c r="G36" s="144">
        <v>0</v>
      </c>
      <c r="H36" s="151">
        <v>0.42499999999999999</v>
      </c>
    </row>
    <row r="37" spans="1:8">
      <c r="A37" s="143">
        <v>18400</v>
      </c>
      <c r="B37" s="152">
        <v>0</v>
      </c>
      <c r="C37" s="152">
        <v>0</v>
      </c>
      <c r="D37" s="152">
        <v>0.16600000000000001</v>
      </c>
      <c r="E37" s="152">
        <v>0.42499999999999999</v>
      </c>
      <c r="F37" s="143">
        <v>18400</v>
      </c>
      <c r="G37" s="144">
        <v>0</v>
      </c>
      <c r="H37" s="151">
        <v>0.42499999999999999</v>
      </c>
    </row>
    <row r="38" spans="1:8">
      <c r="A38" s="143">
        <v>18500</v>
      </c>
      <c r="B38" s="152">
        <v>0</v>
      </c>
      <c r="C38" s="152">
        <v>0</v>
      </c>
      <c r="D38" s="152">
        <v>0.16800000000000001</v>
      </c>
      <c r="E38" s="152">
        <v>0.42599999999999999</v>
      </c>
      <c r="F38" s="143">
        <v>18500</v>
      </c>
      <c r="G38" s="144">
        <v>0</v>
      </c>
      <c r="H38" s="151">
        <v>0.42599999999999999</v>
      </c>
    </row>
    <row r="39" spans="1:8">
      <c r="A39" s="143">
        <v>18600</v>
      </c>
      <c r="B39" s="152">
        <v>0</v>
      </c>
      <c r="C39" s="152">
        <v>0</v>
      </c>
      <c r="D39" s="152">
        <v>0.17</v>
      </c>
      <c r="E39" s="152">
        <v>0.42599999999999999</v>
      </c>
      <c r="F39" s="143">
        <v>18600</v>
      </c>
      <c r="G39" s="144">
        <v>0</v>
      </c>
      <c r="H39" s="151">
        <v>0.42599999999999999</v>
      </c>
    </row>
    <row r="40" spans="1:8">
      <c r="A40" s="143">
        <v>18700</v>
      </c>
      <c r="B40" s="152">
        <v>0</v>
      </c>
      <c r="C40" s="152">
        <v>0</v>
      </c>
      <c r="D40" s="152">
        <v>0.17199999999999999</v>
      </c>
      <c r="E40" s="152">
        <v>0.42599999999999999</v>
      </c>
      <c r="F40" s="143">
        <v>18700</v>
      </c>
      <c r="G40" s="144">
        <v>0</v>
      </c>
      <c r="H40" s="151">
        <v>0.42599999999999999</v>
      </c>
    </row>
    <row r="41" spans="1:8">
      <c r="A41" s="143">
        <v>18800</v>
      </c>
      <c r="B41" s="152">
        <v>0</v>
      </c>
      <c r="C41" s="152">
        <v>0</v>
      </c>
      <c r="D41" s="152">
        <v>0.17399999999999999</v>
      </c>
      <c r="E41" s="152">
        <v>0.42700000000000005</v>
      </c>
      <c r="F41" s="143">
        <v>18800</v>
      </c>
      <c r="G41" s="144">
        <v>0</v>
      </c>
      <c r="H41" s="151">
        <v>0.42699999999999999</v>
      </c>
    </row>
    <row r="42" spans="1:8">
      <c r="A42" s="143">
        <v>18900</v>
      </c>
      <c r="B42" s="152">
        <v>0</v>
      </c>
      <c r="C42" s="152">
        <v>0</v>
      </c>
      <c r="D42" s="152">
        <v>0.17600000000000002</v>
      </c>
      <c r="E42" s="152">
        <v>0.42700000000000005</v>
      </c>
      <c r="F42" s="143">
        <v>18900</v>
      </c>
      <c r="G42" s="144">
        <v>0</v>
      </c>
      <c r="H42" s="151">
        <v>0.42699999999999999</v>
      </c>
    </row>
    <row r="43" spans="1:8">
      <c r="A43" s="143">
        <v>19000</v>
      </c>
      <c r="B43" s="152">
        <v>0</v>
      </c>
      <c r="C43" s="152">
        <v>0</v>
      </c>
      <c r="D43" s="152">
        <v>0.17699999999999999</v>
      </c>
      <c r="E43" s="152">
        <v>0.42700000000000005</v>
      </c>
      <c r="F43" s="143">
        <v>19000</v>
      </c>
      <c r="G43" s="144">
        <v>0</v>
      </c>
      <c r="H43" s="151">
        <v>0.42699999999999999</v>
      </c>
    </row>
    <row r="44" spans="1:8">
      <c r="A44" s="143">
        <v>19100</v>
      </c>
      <c r="B44" s="152">
        <v>0</v>
      </c>
      <c r="C44" s="152">
        <v>0</v>
      </c>
      <c r="D44" s="152">
        <v>0.17899999999999999</v>
      </c>
      <c r="E44" s="152">
        <v>0.42799999999999999</v>
      </c>
      <c r="F44" s="143">
        <v>19100</v>
      </c>
      <c r="G44" s="144">
        <v>0</v>
      </c>
      <c r="H44" s="151">
        <v>0.42799999999999999</v>
      </c>
    </row>
    <row r="45" spans="1:8">
      <c r="A45" s="143">
        <v>19200</v>
      </c>
      <c r="B45" s="152">
        <v>0</v>
      </c>
      <c r="C45" s="152">
        <v>0.14099999999999999</v>
      </c>
      <c r="D45" s="152">
        <v>0.18100000000000002</v>
      </c>
      <c r="E45" s="152">
        <v>0.42799999999999999</v>
      </c>
      <c r="F45" s="143">
        <v>19200</v>
      </c>
      <c r="G45" s="144">
        <v>0</v>
      </c>
      <c r="H45" s="151">
        <v>0.42799999999999999</v>
      </c>
    </row>
    <row r="46" spans="1:8">
      <c r="A46" s="143">
        <v>19300</v>
      </c>
      <c r="B46" s="152">
        <v>0</v>
      </c>
      <c r="C46" s="152">
        <v>0.14300000000000002</v>
      </c>
      <c r="D46" s="152">
        <v>0.183</v>
      </c>
      <c r="E46" s="152">
        <v>0.42799999999999999</v>
      </c>
      <c r="F46" s="143">
        <v>19300</v>
      </c>
      <c r="G46" s="144">
        <v>0</v>
      </c>
      <c r="H46" s="151">
        <v>0.42799999999999999</v>
      </c>
    </row>
    <row r="47" spans="1:8">
      <c r="A47" s="143">
        <v>19400</v>
      </c>
      <c r="B47" s="152">
        <v>0</v>
      </c>
      <c r="C47" s="152">
        <v>0.14499999999999999</v>
      </c>
      <c r="D47" s="152">
        <v>0.184</v>
      </c>
      <c r="E47" s="152">
        <v>0.42899999999999999</v>
      </c>
      <c r="F47" s="143">
        <v>19400</v>
      </c>
      <c r="G47" s="144">
        <v>0</v>
      </c>
      <c r="H47" s="151">
        <v>0.42899999999999999</v>
      </c>
    </row>
    <row r="48" spans="1:8">
      <c r="A48" s="143">
        <v>19500</v>
      </c>
      <c r="B48" s="152">
        <v>0</v>
      </c>
      <c r="C48" s="152">
        <v>0.14699999999999999</v>
      </c>
      <c r="D48" s="152">
        <v>0.18600000000000003</v>
      </c>
      <c r="E48" s="152">
        <v>0.42899999999999999</v>
      </c>
      <c r="F48" s="143">
        <v>19500</v>
      </c>
      <c r="G48" s="144">
        <v>0</v>
      </c>
      <c r="H48" s="151">
        <v>0.42899999999999999</v>
      </c>
    </row>
    <row r="49" spans="1:8">
      <c r="A49" s="143">
        <v>19600</v>
      </c>
      <c r="B49" s="152">
        <v>0</v>
      </c>
      <c r="C49" s="152">
        <v>0.14899999999999999</v>
      </c>
      <c r="D49" s="152">
        <v>0.188</v>
      </c>
      <c r="E49" s="152">
        <v>0.42899999999999999</v>
      </c>
      <c r="F49" s="143">
        <v>19600</v>
      </c>
      <c r="G49" s="144">
        <v>0</v>
      </c>
      <c r="H49" s="151">
        <v>0.42899999999999999</v>
      </c>
    </row>
    <row r="50" spans="1:8">
      <c r="A50" s="143">
        <v>19700</v>
      </c>
      <c r="B50" s="152">
        <v>0</v>
      </c>
      <c r="C50" s="152">
        <v>0.151</v>
      </c>
      <c r="D50" s="152">
        <v>0.18899999999999997</v>
      </c>
      <c r="E50" s="152">
        <v>0.43</v>
      </c>
      <c r="F50" s="143">
        <v>19700</v>
      </c>
      <c r="G50" s="144">
        <v>0</v>
      </c>
      <c r="H50" s="151">
        <v>0.43</v>
      </c>
    </row>
    <row r="51" spans="1:8">
      <c r="A51" s="143">
        <v>19800</v>
      </c>
      <c r="B51" s="152">
        <v>0</v>
      </c>
      <c r="C51" s="152">
        <v>0.152</v>
      </c>
      <c r="D51" s="152">
        <v>0.191</v>
      </c>
      <c r="E51" s="152">
        <v>0.43</v>
      </c>
      <c r="F51" s="143">
        <v>19800</v>
      </c>
      <c r="G51" s="144">
        <v>0</v>
      </c>
      <c r="H51" s="151">
        <v>0.43</v>
      </c>
    </row>
    <row r="52" spans="1:8">
      <c r="A52" s="143">
        <v>19900</v>
      </c>
      <c r="B52" s="152">
        <v>0</v>
      </c>
      <c r="C52" s="152">
        <v>0.154</v>
      </c>
      <c r="D52" s="152">
        <v>0.193</v>
      </c>
      <c r="E52" s="152">
        <v>0.43</v>
      </c>
      <c r="F52" s="143">
        <v>19900</v>
      </c>
      <c r="G52" s="144">
        <v>0</v>
      </c>
      <c r="H52" s="151">
        <v>0.43</v>
      </c>
    </row>
    <row r="53" spans="1:8">
      <c r="A53" s="143">
        <v>20000</v>
      </c>
      <c r="B53" s="152">
        <v>0</v>
      </c>
      <c r="C53" s="152">
        <v>0.156</v>
      </c>
      <c r="D53" s="152">
        <v>0.19399999999999998</v>
      </c>
      <c r="E53" s="152">
        <v>0.43</v>
      </c>
      <c r="F53" s="143">
        <v>20000</v>
      </c>
      <c r="G53" s="144">
        <v>0</v>
      </c>
      <c r="H53" s="151">
        <v>0.43</v>
      </c>
    </row>
    <row r="54" spans="1:8">
      <c r="A54" s="143">
        <v>20100</v>
      </c>
      <c r="B54" s="152">
        <v>0</v>
      </c>
      <c r="C54" s="152">
        <v>0.158</v>
      </c>
      <c r="D54" s="152">
        <v>0.19600000000000001</v>
      </c>
      <c r="E54" s="152">
        <v>0.43099999999999999</v>
      </c>
      <c r="F54" s="143">
        <v>20100</v>
      </c>
      <c r="G54" s="144">
        <v>0</v>
      </c>
      <c r="H54" s="151">
        <v>0.43099999999999999</v>
      </c>
    </row>
    <row r="55" spans="1:8">
      <c r="A55" s="143">
        <v>20200</v>
      </c>
      <c r="B55" s="152">
        <v>0</v>
      </c>
      <c r="C55" s="152">
        <v>0.16</v>
      </c>
      <c r="D55" s="152">
        <v>0.19800000000000001</v>
      </c>
      <c r="E55" s="152">
        <v>0.43099999999999999</v>
      </c>
      <c r="F55" s="143">
        <v>20200</v>
      </c>
      <c r="G55" s="144">
        <v>0</v>
      </c>
      <c r="H55" s="151">
        <v>0.43099999999999999</v>
      </c>
    </row>
    <row r="56" spans="1:8">
      <c r="A56" s="143">
        <v>20300</v>
      </c>
      <c r="B56" s="152">
        <v>0</v>
      </c>
      <c r="C56" s="152">
        <v>0.161</v>
      </c>
      <c r="D56" s="152">
        <v>0.19899999999999998</v>
      </c>
      <c r="E56" s="152">
        <v>0.43099999999999999</v>
      </c>
      <c r="F56" s="143">
        <v>20300</v>
      </c>
      <c r="G56" s="144">
        <v>0</v>
      </c>
      <c r="H56" s="151">
        <v>0.43099999999999999</v>
      </c>
    </row>
    <row r="57" spans="1:8">
      <c r="A57" s="143">
        <v>20400</v>
      </c>
      <c r="B57" s="152">
        <v>0</v>
      </c>
      <c r="C57" s="152">
        <v>0.16300000000000001</v>
      </c>
      <c r="D57" s="152">
        <v>0.20100000000000001</v>
      </c>
      <c r="E57" s="152">
        <v>0.43200000000000005</v>
      </c>
      <c r="F57" s="143">
        <v>20400</v>
      </c>
      <c r="G57" s="144">
        <v>0</v>
      </c>
      <c r="H57" s="151">
        <v>0.432</v>
      </c>
    </row>
    <row r="58" spans="1:8">
      <c r="A58" s="143">
        <v>20500</v>
      </c>
      <c r="B58" s="152">
        <v>0</v>
      </c>
      <c r="C58" s="152">
        <v>0.16500000000000001</v>
      </c>
      <c r="D58" s="152">
        <v>0.20199999999999999</v>
      </c>
      <c r="E58" s="152">
        <v>0.43200000000000005</v>
      </c>
      <c r="F58" s="143">
        <v>20500</v>
      </c>
      <c r="G58" s="144">
        <v>0</v>
      </c>
      <c r="H58" s="151">
        <v>0.432</v>
      </c>
    </row>
    <row r="59" spans="1:8">
      <c r="A59" s="143">
        <v>20600</v>
      </c>
      <c r="B59" s="152">
        <v>0</v>
      </c>
      <c r="C59" s="152">
        <v>0.16699999999999998</v>
      </c>
      <c r="D59" s="152">
        <v>0.20399999999999999</v>
      </c>
      <c r="E59" s="152">
        <v>0.43200000000000005</v>
      </c>
      <c r="F59" s="143">
        <v>20600</v>
      </c>
      <c r="G59" s="144">
        <v>0</v>
      </c>
      <c r="H59" s="151">
        <v>0.432</v>
      </c>
    </row>
    <row r="60" spans="1:8">
      <c r="A60" s="143">
        <v>20700</v>
      </c>
      <c r="B60" s="152">
        <v>0</v>
      </c>
      <c r="C60" s="152">
        <v>0.16800000000000001</v>
      </c>
      <c r="D60" s="152">
        <v>0.20499999999999999</v>
      </c>
      <c r="E60" s="152">
        <v>0.43200000000000005</v>
      </c>
      <c r="F60" s="143">
        <v>20700</v>
      </c>
      <c r="G60" s="144">
        <v>0</v>
      </c>
      <c r="H60" s="151">
        <v>0.432</v>
      </c>
    </row>
    <row r="61" spans="1:8">
      <c r="A61" s="143">
        <v>20800</v>
      </c>
      <c r="B61" s="152">
        <v>0</v>
      </c>
      <c r="C61" s="152">
        <v>0.17</v>
      </c>
      <c r="D61" s="152">
        <v>0.20699999999999999</v>
      </c>
      <c r="E61" s="152">
        <v>0.433</v>
      </c>
      <c r="F61" s="143">
        <v>20800</v>
      </c>
      <c r="G61" s="144">
        <v>0</v>
      </c>
      <c r="H61" s="151">
        <v>0.433</v>
      </c>
    </row>
    <row r="62" spans="1:8">
      <c r="A62" s="143">
        <v>20900</v>
      </c>
      <c r="B62" s="152">
        <v>0</v>
      </c>
      <c r="C62" s="152">
        <v>0.17199999999999999</v>
      </c>
      <c r="D62" s="152">
        <v>0.20800000000000002</v>
      </c>
      <c r="E62" s="152">
        <v>0.433</v>
      </c>
      <c r="F62" s="143">
        <v>20900</v>
      </c>
      <c r="G62" s="144">
        <v>0</v>
      </c>
      <c r="H62" s="151">
        <v>0.433</v>
      </c>
    </row>
    <row r="63" spans="1:8">
      <c r="A63" s="143">
        <v>21000</v>
      </c>
      <c r="B63" s="152">
        <v>0</v>
      </c>
      <c r="C63" s="152">
        <v>0.17300000000000001</v>
      </c>
      <c r="D63" s="152">
        <v>0.21</v>
      </c>
      <c r="E63" s="152">
        <v>0.433</v>
      </c>
      <c r="F63" s="143">
        <v>21000</v>
      </c>
      <c r="G63" s="146">
        <v>0.13400000000000001</v>
      </c>
      <c r="H63" s="151">
        <v>0.433</v>
      </c>
    </row>
    <row r="64" spans="1:8">
      <c r="A64" s="143">
        <v>21100</v>
      </c>
      <c r="B64" s="152">
        <v>0</v>
      </c>
      <c r="C64" s="152">
        <v>0.17499999999999999</v>
      </c>
      <c r="D64" s="152">
        <v>0.21100000000000002</v>
      </c>
      <c r="E64" s="152">
        <v>0.433</v>
      </c>
      <c r="F64" s="143">
        <v>21100</v>
      </c>
      <c r="G64" s="146">
        <v>0.13600000000000001</v>
      </c>
      <c r="H64" s="151">
        <v>0.433</v>
      </c>
    </row>
    <row r="65" spans="1:8">
      <c r="A65" s="143">
        <v>21200</v>
      </c>
      <c r="B65" s="152">
        <v>0</v>
      </c>
      <c r="C65" s="152">
        <v>0.17600000000000002</v>
      </c>
      <c r="D65" s="152">
        <v>0.21299999999999999</v>
      </c>
      <c r="E65" s="152">
        <v>0.434</v>
      </c>
      <c r="F65" s="143">
        <v>21200</v>
      </c>
      <c r="G65" s="146">
        <v>0.13800000000000001</v>
      </c>
      <c r="H65" s="151">
        <v>0.434</v>
      </c>
    </row>
    <row r="66" spans="1:8">
      <c r="A66" s="143">
        <v>21300</v>
      </c>
      <c r="B66" s="152">
        <v>0</v>
      </c>
      <c r="C66" s="152">
        <v>0.17800000000000002</v>
      </c>
      <c r="D66" s="152">
        <v>0.214</v>
      </c>
      <c r="E66" s="152">
        <v>0.434</v>
      </c>
      <c r="F66" s="143">
        <v>21300</v>
      </c>
      <c r="G66" s="146">
        <v>0.14000000000000001</v>
      </c>
      <c r="H66" s="151">
        <v>0.434</v>
      </c>
    </row>
    <row r="67" spans="1:8">
      <c r="A67" s="143">
        <v>21400</v>
      </c>
      <c r="B67" s="152">
        <v>0</v>
      </c>
      <c r="C67" s="152">
        <v>0.18</v>
      </c>
      <c r="D67" s="152">
        <v>0.215</v>
      </c>
      <c r="E67" s="152">
        <v>0.434</v>
      </c>
      <c r="F67" s="143">
        <v>21400</v>
      </c>
      <c r="G67" s="146">
        <v>0.14099999999999999</v>
      </c>
      <c r="H67" s="151">
        <v>0.434</v>
      </c>
    </row>
    <row r="68" spans="1:8">
      <c r="A68" s="143">
        <v>21500</v>
      </c>
      <c r="B68" s="152">
        <v>0</v>
      </c>
      <c r="C68" s="152">
        <v>0.18100000000000002</v>
      </c>
      <c r="D68" s="152">
        <v>0.217</v>
      </c>
      <c r="E68" s="152">
        <v>0.435</v>
      </c>
      <c r="F68" s="143">
        <v>21500</v>
      </c>
      <c r="G68" s="146">
        <v>0.14299999999999999</v>
      </c>
      <c r="H68" s="151">
        <v>0.435</v>
      </c>
    </row>
    <row r="69" spans="1:8">
      <c r="A69" s="143">
        <v>21600</v>
      </c>
      <c r="B69" s="152">
        <v>0</v>
      </c>
      <c r="C69" s="152">
        <v>0.183</v>
      </c>
      <c r="D69" s="152">
        <v>0.218</v>
      </c>
      <c r="E69" s="152">
        <v>0.435</v>
      </c>
      <c r="F69" s="143">
        <v>21600</v>
      </c>
      <c r="G69" s="146">
        <v>0.14499999999999999</v>
      </c>
      <c r="H69" s="151">
        <v>0.435</v>
      </c>
    </row>
    <row r="70" spans="1:8">
      <c r="A70" s="143">
        <v>21700</v>
      </c>
      <c r="B70" s="152">
        <v>0</v>
      </c>
      <c r="C70" s="152">
        <v>0.184</v>
      </c>
      <c r="D70" s="152">
        <v>0.22</v>
      </c>
      <c r="E70" s="152">
        <v>0.435</v>
      </c>
      <c r="F70" s="143">
        <v>21700</v>
      </c>
      <c r="G70" s="146">
        <v>0.14699999999999999</v>
      </c>
      <c r="H70" s="151">
        <v>0.435</v>
      </c>
    </row>
    <row r="71" spans="1:8">
      <c r="A71" s="143">
        <v>21800</v>
      </c>
      <c r="B71" s="152">
        <v>0</v>
      </c>
      <c r="C71" s="152">
        <v>0.18600000000000003</v>
      </c>
      <c r="D71" s="152">
        <v>0.221</v>
      </c>
      <c r="E71" s="152">
        <v>0.435</v>
      </c>
      <c r="F71" s="143">
        <v>21800</v>
      </c>
      <c r="G71" s="146">
        <v>0.14799999999999999</v>
      </c>
      <c r="H71" s="151">
        <v>0.435</v>
      </c>
    </row>
    <row r="72" spans="1:8">
      <c r="A72" s="143">
        <v>21900</v>
      </c>
      <c r="B72" s="152">
        <v>0</v>
      </c>
      <c r="C72" s="152">
        <v>0.187</v>
      </c>
      <c r="D72" s="152">
        <v>0.222</v>
      </c>
      <c r="E72" s="152">
        <v>0.436</v>
      </c>
      <c r="F72" s="143">
        <v>21900</v>
      </c>
      <c r="G72" s="146">
        <v>0.15</v>
      </c>
      <c r="H72" s="151">
        <v>0.436</v>
      </c>
    </row>
    <row r="73" spans="1:8">
      <c r="A73" s="143">
        <v>22000</v>
      </c>
      <c r="B73" s="152">
        <v>0</v>
      </c>
      <c r="C73" s="152">
        <v>0.18899999999999997</v>
      </c>
      <c r="D73" s="152">
        <v>0.22399999999999998</v>
      </c>
      <c r="E73" s="152">
        <v>0.436</v>
      </c>
      <c r="F73" s="143">
        <v>22000</v>
      </c>
      <c r="G73" s="146">
        <v>0.152</v>
      </c>
      <c r="H73" s="151">
        <v>0.436</v>
      </c>
    </row>
    <row r="74" spans="1:8">
      <c r="A74" s="143">
        <v>22100</v>
      </c>
      <c r="B74" s="152">
        <v>0</v>
      </c>
      <c r="C74" s="152">
        <v>0.19</v>
      </c>
      <c r="D74" s="152">
        <v>0.22500000000000001</v>
      </c>
      <c r="E74" s="152">
        <v>0.436</v>
      </c>
      <c r="F74" s="143">
        <v>22100</v>
      </c>
      <c r="G74" s="146">
        <v>0.153</v>
      </c>
      <c r="H74" s="151">
        <v>0.436</v>
      </c>
    </row>
    <row r="75" spans="1:8">
      <c r="A75" s="143">
        <v>22200</v>
      </c>
      <c r="B75" s="152">
        <v>0</v>
      </c>
      <c r="C75" s="152">
        <v>0.192</v>
      </c>
      <c r="D75" s="152">
        <v>0.22600000000000001</v>
      </c>
      <c r="E75" s="152">
        <v>0.436</v>
      </c>
      <c r="F75" s="143">
        <v>22200</v>
      </c>
      <c r="G75" s="146">
        <v>0.155</v>
      </c>
      <c r="H75" s="151">
        <v>0.436</v>
      </c>
    </row>
    <row r="76" spans="1:8">
      <c r="A76" s="143">
        <v>22300</v>
      </c>
      <c r="B76" s="152">
        <v>0</v>
      </c>
      <c r="C76" s="152">
        <v>0.193</v>
      </c>
      <c r="D76" s="152">
        <v>0.22699999999999998</v>
      </c>
      <c r="E76" s="152">
        <v>0.436</v>
      </c>
      <c r="F76" s="143">
        <v>22300</v>
      </c>
      <c r="G76" s="146">
        <v>0.157</v>
      </c>
      <c r="H76" s="151">
        <v>0.436</v>
      </c>
    </row>
    <row r="77" spans="1:8">
      <c r="A77" s="143">
        <v>22400</v>
      </c>
      <c r="B77" s="152">
        <v>0</v>
      </c>
      <c r="C77" s="152">
        <v>0.19500000000000001</v>
      </c>
      <c r="D77" s="152">
        <v>0.22899999999999998</v>
      </c>
      <c r="E77" s="152">
        <v>0.43700000000000006</v>
      </c>
      <c r="F77" s="143">
        <v>22400</v>
      </c>
      <c r="G77" s="146">
        <v>0.158</v>
      </c>
      <c r="H77" s="151">
        <v>0.437</v>
      </c>
    </row>
    <row r="78" spans="1:8">
      <c r="A78" s="143">
        <v>22500</v>
      </c>
      <c r="B78" s="152">
        <v>0</v>
      </c>
      <c r="C78" s="152">
        <v>0.19600000000000001</v>
      </c>
      <c r="D78" s="152">
        <v>0.23</v>
      </c>
      <c r="E78" s="152">
        <v>0.43700000000000006</v>
      </c>
      <c r="F78" s="143">
        <v>22500</v>
      </c>
      <c r="G78" s="146">
        <v>0.16</v>
      </c>
      <c r="H78" s="151">
        <v>0.437</v>
      </c>
    </row>
    <row r="79" spans="1:8">
      <c r="A79" s="143">
        <v>22600</v>
      </c>
      <c r="B79" s="152">
        <v>0</v>
      </c>
      <c r="C79" s="152">
        <v>0.19699999999999998</v>
      </c>
      <c r="D79" s="152">
        <v>0.23100000000000001</v>
      </c>
      <c r="E79" s="152">
        <v>0.43700000000000006</v>
      </c>
      <c r="F79" s="143">
        <v>22600</v>
      </c>
      <c r="G79" s="146">
        <v>0.161</v>
      </c>
      <c r="H79" s="151">
        <v>0.437</v>
      </c>
    </row>
    <row r="80" spans="1:8">
      <c r="A80" s="143">
        <v>22700</v>
      </c>
      <c r="B80" s="152">
        <v>0</v>
      </c>
      <c r="C80" s="152">
        <v>0.19899999999999998</v>
      </c>
      <c r="D80" s="152">
        <v>0.23300000000000001</v>
      </c>
      <c r="E80" s="152">
        <v>0.43700000000000006</v>
      </c>
      <c r="F80" s="143">
        <v>22700</v>
      </c>
      <c r="G80" s="146">
        <v>0.16300000000000001</v>
      </c>
      <c r="H80" s="151">
        <v>0.437</v>
      </c>
    </row>
    <row r="81" spans="1:8">
      <c r="A81" s="143">
        <v>22800</v>
      </c>
      <c r="B81" s="152">
        <v>0</v>
      </c>
      <c r="C81" s="152">
        <v>0.2</v>
      </c>
      <c r="D81" s="152">
        <v>0.23399999999999999</v>
      </c>
      <c r="E81" s="152">
        <v>0.43799999999999994</v>
      </c>
      <c r="F81" s="143">
        <v>22800</v>
      </c>
      <c r="G81" s="146">
        <v>0.16400000000000001</v>
      </c>
      <c r="H81" s="151">
        <v>0.438</v>
      </c>
    </row>
    <row r="82" spans="1:8">
      <c r="A82" s="143">
        <v>22900</v>
      </c>
      <c r="B82" s="152">
        <v>0</v>
      </c>
      <c r="C82" s="152">
        <v>0.20199999999999999</v>
      </c>
      <c r="D82" s="152">
        <v>0.23499999999999999</v>
      </c>
      <c r="E82" s="152">
        <v>0.43799999999999994</v>
      </c>
      <c r="F82" s="143">
        <v>22900</v>
      </c>
      <c r="G82" s="146">
        <v>0.16600000000000001</v>
      </c>
      <c r="H82" s="151">
        <v>0.438</v>
      </c>
    </row>
    <row r="83" spans="1:8">
      <c r="A83" s="143">
        <v>23000</v>
      </c>
      <c r="B83" s="152">
        <v>0</v>
      </c>
      <c r="C83" s="152">
        <v>0.20300000000000001</v>
      </c>
      <c r="D83" s="152">
        <v>0.23600000000000002</v>
      </c>
      <c r="E83" s="152">
        <v>0.43799999999999994</v>
      </c>
      <c r="F83" s="143">
        <v>23000</v>
      </c>
      <c r="G83" s="146">
        <v>0.16700000000000001</v>
      </c>
      <c r="H83" s="151">
        <v>0.438</v>
      </c>
    </row>
    <row r="84" spans="1:8">
      <c r="A84" s="143">
        <v>23100</v>
      </c>
      <c r="B84" s="152">
        <v>0</v>
      </c>
      <c r="C84" s="152">
        <v>0.20399999999999999</v>
      </c>
      <c r="D84" s="152">
        <v>0.23699999999999999</v>
      </c>
      <c r="E84" s="152">
        <v>0.43799999999999994</v>
      </c>
      <c r="F84" s="143">
        <v>23100</v>
      </c>
      <c r="G84" s="146">
        <v>0.16900000000000001</v>
      </c>
      <c r="H84" s="151">
        <v>0.438</v>
      </c>
    </row>
    <row r="85" spans="1:8">
      <c r="A85" s="143">
        <v>23200</v>
      </c>
      <c r="B85" s="152">
        <v>0.17</v>
      </c>
      <c r="C85" s="152">
        <v>0.20600000000000002</v>
      </c>
      <c r="D85" s="152">
        <v>0.23899999999999999</v>
      </c>
      <c r="E85" s="152">
        <v>0.439</v>
      </c>
      <c r="F85" s="143">
        <v>23200</v>
      </c>
      <c r="G85" s="146">
        <v>0.17</v>
      </c>
      <c r="H85" s="151">
        <v>0.439</v>
      </c>
    </row>
    <row r="86" spans="1:8">
      <c r="A86" s="143">
        <v>23300</v>
      </c>
      <c r="B86" s="152">
        <v>0.17199999999999999</v>
      </c>
      <c r="C86" s="152">
        <v>0.20699999999999999</v>
      </c>
      <c r="D86" s="152">
        <v>0.24</v>
      </c>
      <c r="E86" s="152">
        <v>0.439</v>
      </c>
      <c r="F86" s="143">
        <v>23300</v>
      </c>
      <c r="G86" s="146">
        <v>0.17199999999999999</v>
      </c>
      <c r="H86" s="151">
        <v>0.439</v>
      </c>
    </row>
    <row r="87" spans="1:8">
      <c r="A87" s="143">
        <v>23400</v>
      </c>
      <c r="B87" s="152">
        <v>0.17300000000000001</v>
      </c>
      <c r="C87" s="152">
        <v>0.20800000000000002</v>
      </c>
      <c r="D87" s="152">
        <v>0.24100000000000002</v>
      </c>
      <c r="E87" s="152">
        <v>0.439</v>
      </c>
      <c r="F87" s="143">
        <v>23400</v>
      </c>
      <c r="G87" s="146">
        <v>0.17299999999999999</v>
      </c>
      <c r="H87" s="151">
        <v>0.439</v>
      </c>
    </row>
    <row r="88" spans="1:8">
      <c r="A88" s="143">
        <v>23500</v>
      </c>
      <c r="B88" s="152">
        <v>0.17499999999999999</v>
      </c>
      <c r="C88" s="152">
        <v>0.21</v>
      </c>
      <c r="D88" s="152">
        <v>0.24199999999999999</v>
      </c>
      <c r="E88" s="152">
        <v>0.439</v>
      </c>
      <c r="F88" s="143">
        <v>23500</v>
      </c>
      <c r="G88" s="146">
        <v>0.17499999999999999</v>
      </c>
      <c r="H88" s="151">
        <v>0.439</v>
      </c>
    </row>
    <row r="89" spans="1:8">
      <c r="A89" s="143">
        <v>23600</v>
      </c>
      <c r="B89" s="152">
        <v>0.17600000000000002</v>
      </c>
      <c r="C89" s="152">
        <v>0.21100000000000002</v>
      </c>
      <c r="D89" s="152">
        <v>0.24299999999999999</v>
      </c>
      <c r="E89" s="152">
        <v>0.439</v>
      </c>
      <c r="F89" s="143">
        <v>23600</v>
      </c>
      <c r="G89" s="146">
        <v>0.17599999999999999</v>
      </c>
      <c r="H89" s="151">
        <v>0.439</v>
      </c>
    </row>
    <row r="90" spans="1:8">
      <c r="A90" s="143">
        <v>23700</v>
      </c>
      <c r="B90" s="152">
        <v>0.17800000000000002</v>
      </c>
      <c r="C90" s="152">
        <v>0.21199999999999999</v>
      </c>
      <c r="D90" s="152">
        <v>0.24399999999999999</v>
      </c>
      <c r="E90" s="152">
        <v>0.44</v>
      </c>
      <c r="F90" s="143">
        <v>23700</v>
      </c>
      <c r="G90" s="146">
        <v>0.17799999999999999</v>
      </c>
      <c r="H90" s="151">
        <v>0.44</v>
      </c>
    </row>
    <row r="91" spans="1:8">
      <c r="A91" s="143">
        <v>23800</v>
      </c>
      <c r="B91" s="152">
        <v>0.17899999999999999</v>
      </c>
      <c r="C91" s="152">
        <v>0.21299999999999999</v>
      </c>
      <c r="D91" s="152">
        <v>0.24600000000000002</v>
      </c>
      <c r="E91" s="152">
        <v>0.44</v>
      </c>
      <c r="F91" s="143">
        <v>23800</v>
      </c>
      <c r="G91" s="146">
        <v>0.17899999999999999</v>
      </c>
      <c r="H91" s="151">
        <v>0.44</v>
      </c>
    </row>
    <row r="92" spans="1:8">
      <c r="A92" s="143">
        <v>23900</v>
      </c>
      <c r="B92" s="152">
        <v>0.18100000000000002</v>
      </c>
      <c r="C92" s="152">
        <v>0.215</v>
      </c>
      <c r="D92" s="152">
        <v>0.247</v>
      </c>
      <c r="E92" s="152">
        <v>0.44</v>
      </c>
      <c r="F92" s="143">
        <v>23900</v>
      </c>
      <c r="G92" s="146">
        <v>0.18099999999999999</v>
      </c>
      <c r="H92" s="151">
        <v>0.44</v>
      </c>
    </row>
    <row r="93" spans="1:8">
      <c r="A93" s="143">
        <v>24000</v>
      </c>
      <c r="B93" s="152">
        <v>0.182</v>
      </c>
      <c r="C93" s="152">
        <v>0.21600000000000003</v>
      </c>
      <c r="D93" s="152">
        <v>0.248</v>
      </c>
      <c r="E93" s="152">
        <v>0.44</v>
      </c>
      <c r="F93" s="143">
        <v>24000</v>
      </c>
      <c r="G93" s="146">
        <v>0.182</v>
      </c>
      <c r="H93" s="151">
        <v>0.44</v>
      </c>
    </row>
    <row r="94" spans="1:8">
      <c r="A94" s="143">
        <v>24100</v>
      </c>
      <c r="B94" s="152">
        <v>0.183</v>
      </c>
      <c r="C94" s="152">
        <v>0.217</v>
      </c>
      <c r="D94" s="152">
        <v>0.249</v>
      </c>
      <c r="E94" s="152">
        <v>0.44</v>
      </c>
      <c r="F94" s="143">
        <v>24100</v>
      </c>
      <c r="G94" s="146">
        <v>0.183</v>
      </c>
      <c r="H94" s="151">
        <v>0.44</v>
      </c>
    </row>
    <row r="95" spans="1:8">
      <c r="A95" s="143">
        <v>24200</v>
      </c>
      <c r="B95" s="152">
        <v>0.185</v>
      </c>
      <c r="C95" s="152">
        <v>0.218</v>
      </c>
      <c r="D95" s="152">
        <v>0.25</v>
      </c>
      <c r="E95" s="152">
        <v>0.441</v>
      </c>
      <c r="F95" s="143">
        <v>24200</v>
      </c>
      <c r="G95" s="146">
        <v>0.185</v>
      </c>
      <c r="H95" s="151">
        <v>0.441</v>
      </c>
    </row>
    <row r="96" spans="1:8">
      <c r="A96" s="143">
        <v>24300</v>
      </c>
      <c r="B96" s="152">
        <v>0.18600000000000003</v>
      </c>
      <c r="C96" s="152">
        <v>0.22</v>
      </c>
      <c r="D96" s="152">
        <v>0.251</v>
      </c>
      <c r="E96" s="152">
        <v>0.441</v>
      </c>
      <c r="F96" s="143">
        <v>24300</v>
      </c>
      <c r="G96" s="146">
        <v>0.186</v>
      </c>
      <c r="H96" s="151">
        <v>0.441</v>
      </c>
    </row>
    <row r="97" spans="1:8">
      <c r="A97" s="143">
        <v>24400</v>
      </c>
      <c r="B97" s="152">
        <v>0.187</v>
      </c>
      <c r="C97" s="152">
        <v>0.221</v>
      </c>
      <c r="D97" s="152">
        <v>0.252</v>
      </c>
      <c r="E97" s="152">
        <v>0.441</v>
      </c>
      <c r="F97" s="143">
        <v>24400</v>
      </c>
      <c r="G97" s="146">
        <v>0.187</v>
      </c>
      <c r="H97" s="151">
        <v>0.441</v>
      </c>
    </row>
    <row r="98" spans="1:8">
      <c r="A98" s="143">
        <v>24500</v>
      </c>
      <c r="B98" s="152">
        <v>0.18899999999999997</v>
      </c>
      <c r="C98" s="152">
        <v>0.222</v>
      </c>
      <c r="D98" s="152">
        <v>0.253</v>
      </c>
      <c r="E98" s="152">
        <v>0.441</v>
      </c>
      <c r="F98" s="143">
        <v>24500</v>
      </c>
      <c r="G98" s="146">
        <v>0.189</v>
      </c>
      <c r="H98" s="151">
        <v>0.441</v>
      </c>
    </row>
    <row r="99" spans="1:8">
      <c r="A99" s="143">
        <v>24600</v>
      </c>
      <c r="B99" s="152">
        <v>0.19</v>
      </c>
      <c r="C99" s="152">
        <v>0.223</v>
      </c>
      <c r="D99" s="152">
        <v>0.254</v>
      </c>
      <c r="E99" s="152">
        <v>0.441</v>
      </c>
      <c r="F99" s="143">
        <v>24600</v>
      </c>
      <c r="G99" s="146">
        <v>0.19</v>
      </c>
      <c r="H99" s="151">
        <v>0.441</v>
      </c>
    </row>
    <row r="100" spans="1:8">
      <c r="A100" s="143">
        <v>24700</v>
      </c>
      <c r="B100" s="152">
        <v>0.191</v>
      </c>
      <c r="C100" s="152">
        <v>0.22399999999999998</v>
      </c>
      <c r="D100" s="152">
        <v>0.255</v>
      </c>
      <c r="E100" s="152">
        <v>0.442</v>
      </c>
      <c r="F100" s="143">
        <v>24700</v>
      </c>
      <c r="G100" s="146">
        <v>0.191</v>
      </c>
      <c r="H100" s="151">
        <v>0.442</v>
      </c>
    </row>
    <row r="101" spans="1:8">
      <c r="A101" s="143">
        <v>24800</v>
      </c>
      <c r="B101" s="152">
        <v>0.193</v>
      </c>
      <c r="C101" s="152">
        <v>0.22600000000000001</v>
      </c>
      <c r="D101" s="152">
        <v>0.25600000000000001</v>
      </c>
      <c r="E101" s="152">
        <v>0.442</v>
      </c>
      <c r="F101" s="143">
        <v>24800</v>
      </c>
      <c r="G101" s="146">
        <v>0.193</v>
      </c>
      <c r="H101" s="151">
        <v>0.442</v>
      </c>
    </row>
    <row r="102" spans="1:8">
      <c r="A102" s="143">
        <v>24900</v>
      </c>
      <c r="B102" s="152">
        <v>0.19399999999999998</v>
      </c>
      <c r="C102" s="152">
        <v>0.22699999999999998</v>
      </c>
      <c r="D102" s="152">
        <v>0.25800000000000001</v>
      </c>
      <c r="E102" s="152">
        <v>0.442</v>
      </c>
      <c r="F102" s="143">
        <v>24900</v>
      </c>
      <c r="G102" s="146">
        <v>0.19400000000000001</v>
      </c>
      <c r="H102" s="151">
        <v>0.442</v>
      </c>
    </row>
    <row r="103" spans="1:8">
      <c r="A103" s="143">
        <v>25000</v>
      </c>
      <c r="B103" s="152">
        <v>0.19500000000000001</v>
      </c>
      <c r="C103" s="152">
        <v>0.22800000000000001</v>
      </c>
      <c r="D103" s="152">
        <v>0.25900000000000001</v>
      </c>
      <c r="E103" s="152">
        <v>0.442</v>
      </c>
      <c r="F103" s="143">
        <v>25000</v>
      </c>
      <c r="G103" s="146">
        <v>0.19500000000000001</v>
      </c>
      <c r="H103" s="151">
        <v>0.442</v>
      </c>
    </row>
    <row r="104" spans="1:8">
      <c r="A104" s="143">
        <v>25100</v>
      </c>
      <c r="B104" s="152">
        <v>0.19699999999999998</v>
      </c>
      <c r="C104" s="152">
        <v>0.22899999999999998</v>
      </c>
      <c r="D104" s="152">
        <v>0.26</v>
      </c>
      <c r="E104" s="152">
        <v>0.442</v>
      </c>
      <c r="F104" s="143">
        <v>25100</v>
      </c>
      <c r="G104" s="146">
        <v>0.19700000000000001</v>
      </c>
      <c r="H104" s="151">
        <v>0.442</v>
      </c>
    </row>
    <row r="105" spans="1:8">
      <c r="A105" s="143">
        <v>25200</v>
      </c>
      <c r="B105" s="152">
        <v>0.19800000000000001</v>
      </c>
      <c r="C105" s="152">
        <v>0.23</v>
      </c>
      <c r="D105" s="152">
        <v>0.26100000000000001</v>
      </c>
      <c r="E105" s="152">
        <v>0.44299999999999995</v>
      </c>
      <c r="F105" s="143">
        <v>25200</v>
      </c>
      <c r="G105" s="146">
        <v>0.19800000000000001</v>
      </c>
      <c r="H105" s="151">
        <v>0.443</v>
      </c>
    </row>
    <row r="106" spans="1:8">
      <c r="A106" s="143">
        <v>25300</v>
      </c>
      <c r="B106" s="152">
        <v>0.19899999999999998</v>
      </c>
      <c r="C106" s="152">
        <v>0.23100000000000001</v>
      </c>
      <c r="D106" s="152">
        <v>0.26200000000000001</v>
      </c>
      <c r="E106" s="152">
        <v>0.44299999999999995</v>
      </c>
      <c r="F106" s="143">
        <v>25300</v>
      </c>
      <c r="G106" s="146">
        <v>0.19900000000000001</v>
      </c>
      <c r="H106" s="151">
        <v>0.443</v>
      </c>
    </row>
    <row r="107" spans="1:8">
      <c r="A107" s="143">
        <v>25400</v>
      </c>
      <c r="B107" s="152">
        <v>0.2</v>
      </c>
      <c r="C107" s="152">
        <v>0.23199999999999998</v>
      </c>
      <c r="D107" s="152">
        <v>0.26300000000000001</v>
      </c>
      <c r="E107" s="152">
        <v>0.44299999999999995</v>
      </c>
      <c r="F107" s="143">
        <v>25400</v>
      </c>
      <c r="G107" s="146">
        <v>0.2</v>
      </c>
      <c r="H107" s="151">
        <v>0.443</v>
      </c>
    </row>
    <row r="108" spans="1:8">
      <c r="A108" s="143">
        <v>25500</v>
      </c>
      <c r="B108" s="152">
        <v>0.20199999999999999</v>
      </c>
      <c r="C108" s="152">
        <v>0.23399999999999999</v>
      </c>
      <c r="D108" s="152">
        <v>0.26400000000000001</v>
      </c>
      <c r="E108" s="152">
        <v>0.44299999999999995</v>
      </c>
      <c r="F108" s="143">
        <v>25500</v>
      </c>
      <c r="G108" s="146">
        <v>0.20200000000000001</v>
      </c>
      <c r="H108" s="151">
        <v>0.443</v>
      </c>
    </row>
    <row r="109" spans="1:8">
      <c r="A109" s="143">
        <v>25600</v>
      </c>
      <c r="B109" s="152">
        <v>0.20300000000000001</v>
      </c>
      <c r="C109" s="152">
        <v>0.23499999999999999</v>
      </c>
      <c r="D109" s="152">
        <v>0.26500000000000001</v>
      </c>
      <c r="E109" s="152">
        <v>0.44299999999999995</v>
      </c>
      <c r="F109" s="143">
        <v>25600</v>
      </c>
      <c r="G109" s="146">
        <v>0.20300000000000001</v>
      </c>
      <c r="H109" s="151">
        <v>0.443</v>
      </c>
    </row>
    <row r="110" spans="1:8">
      <c r="A110" s="143">
        <v>25700</v>
      </c>
      <c r="B110" s="152">
        <v>0.20399999999999999</v>
      </c>
      <c r="C110" s="152">
        <v>0.23600000000000002</v>
      </c>
      <c r="D110" s="152">
        <v>0.26600000000000001</v>
      </c>
      <c r="E110" s="152">
        <v>0.44299999999999995</v>
      </c>
      <c r="F110" s="143">
        <v>25700</v>
      </c>
      <c r="G110" s="146">
        <v>0.20399999999999999</v>
      </c>
      <c r="H110" s="151">
        <v>0.443</v>
      </c>
    </row>
    <row r="111" spans="1:8">
      <c r="A111" s="143">
        <v>25800</v>
      </c>
      <c r="B111" s="152">
        <v>0.20499999999999999</v>
      </c>
      <c r="C111" s="152">
        <v>0.23699999999999999</v>
      </c>
      <c r="D111" s="152">
        <v>0.26700000000000002</v>
      </c>
      <c r="E111" s="152">
        <v>0.44400000000000001</v>
      </c>
      <c r="F111" s="143">
        <v>25800</v>
      </c>
      <c r="G111" s="146">
        <v>0.20499999999999999</v>
      </c>
      <c r="H111" s="151">
        <v>0.44400000000000001</v>
      </c>
    </row>
    <row r="112" spans="1:8">
      <c r="A112" s="143">
        <v>25900</v>
      </c>
      <c r="B112" s="152">
        <v>0.20600000000000002</v>
      </c>
      <c r="C112" s="152">
        <v>0.23800000000000002</v>
      </c>
      <c r="D112" s="152">
        <v>0.26700000000000002</v>
      </c>
      <c r="E112" s="152">
        <v>0.44400000000000001</v>
      </c>
      <c r="F112" s="143">
        <v>25900</v>
      </c>
      <c r="G112" s="146">
        <v>0.20599999999999999</v>
      </c>
      <c r="H112" s="151">
        <v>0.44400000000000001</v>
      </c>
    </row>
    <row r="113" spans="1:8">
      <c r="A113" s="143">
        <v>26000</v>
      </c>
      <c r="B113" s="152">
        <v>0.20800000000000002</v>
      </c>
      <c r="C113" s="152">
        <v>0.23899999999999999</v>
      </c>
      <c r="D113" s="152">
        <v>0.26800000000000002</v>
      </c>
      <c r="E113" s="152">
        <v>0.44400000000000001</v>
      </c>
      <c r="F113" s="143">
        <v>26000</v>
      </c>
      <c r="G113" s="146">
        <v>0.20799999999999999</v>
      </c>
      <c r="H113" s="151">
        <v>0.44400000000000001</v>
      </c>
    </row>
    <row r="114" spans="1:8">
      <c r="A114" s="143">
        <v>26100</v>
      </c>
      <c r="B114" s="152">
        <v>0.20899999999999999</v>
      </c>
      <c r="C114" s="152">
        <v>0.24</v>
      </c>
      <c r="D114" s="152">
        <v>0.26899999999999996</v>
      </c>
      <c r="E114" s="152">
        <v>0.44400000000000001</v>
      </c>
      <c r="F114" s="143">
        <v>26100</v>
      </c>
      <c r="G114" s="146">
        <v>0.20899999999999999</v>
      </c>
      <c r="H114" s="151">
        <v>0.44400000000000001</v>
      </c>
    </row>
    <row r="115" spans="1:8">
      <c r="A115" s="143">
        <v>26200</v>
      </c>
      <c r="B115" s="152">
        <v>0.21</v>
      </c>
      <c r="C115" s="152">
        <v>0.24100000000000002</v>
      </c>
      <c r="D115" s="152">
        <v>0.27</v>
      </c>
      <c r="E115" s="152">
        <v>0.44400000000000001</v>
      </c>
      <c r="F115" s="143">
        <v>26200</v>
      </c>
      <c r="G115" s="146">
        <v>0.21</v>
      </c>
      <c r="H115" s="151">
        <v>0.44400000000000001</v>
      </c>
    </row>
    <row r="116" spans="1:8">
      <c r="A116" s="143">
        <v>26300</v>
      </c>
      <c r="B116" s="152">
        <v>0.21100000000000002</v>
      </c>
      <c r="C116" s="152">
        <v>0.24199999999999999</v>
      </c>
      <c r="D116" s="152">
        <v>0.27100000000000002</v>
      </c>
      <c r="E116" s="152">
        <v>0.44500000000000001</v>
      </c>
      <c r="F116" s="143">
        <v>26300</v>
      </c>
      <c r="G116" s="146">
        <v>0.21099999999999999</v>
      </c>
      <c r="H116" s="151">
        <v>0.44500000000000001</v>
      </c>
    </row>
    <row r="117" spans="1:8">
      <c r="A117" s="143">
        <v>26400</v>
      </c>
      <c r="B117" s="152">
        <v>0.21199999999999999</v>
      </c>
      <c r="C117" s="152">
        <v>0.24299999999999999</v>
      </c>
      <c r="D117" s="152">
        <v>0.27200000000000002</v>
      </c>
      <c r="E117" s="152">
        <v>0.44500000000000001</v>
      </c>
      <c r="F117" s="143">
        <v>26400</v>
      </c>
      <c r="G117" s="146">
        <v>0.21199999999999999</v>
      </c>
      <c r="H117" s="151">
        <v>0.44500000000000001</v>
      </c>
    </row>
    <row r="118" spans="1:8">
      <c r="A118" s="143">
        <v>26500</v>
      </c>
      <c r="B118" s="152">
        <v>0.21299999999999999</v>
      </c>
      <c r="C118" s="152">
        <v>0.24399999999999999</v>
      </c>
      <c r="D118" s="152">
        <v>0.27300000000000002</v>
      </c>
      <c r="E118" s="152">
        <v>0.44500000000000001</v>
      </c>
      <c r="F118" s="143">
        <v>26500</v>
      </c>
      <c r="G118" s="146">
        <v>0.21299999999999999</v>
      </c>
      <c r="H118" s="151">
        <v>0.44500000000000001</v>
      </c>
    </row>
    <row r="119" spans="1:8">
      <c r="A119" s="143">
        <v>26600</v>
      </c>
      <c r="B119" s="152">
        <v>0.215</v>
      </c>
      <c r="C119" s="152">
        <v>0.245</v>
      </c>
      <c r="D119" s="152">
        <v>0.27399999999999997</v>
      </c>
      <c r="E119" s="152">
        <v>0.44500000000000001</v>
      </c>
      <c r="F119" s="143">
        <v>26600</v>
      </c>
      <c r="G119" s="146">
        <v>0.215</v>
      </c>
      <c r="H119" s="151">
        <v>0.44500000000000001</v>
      </c>
    </row>
    <row r="120" spans="1:8">
      <c r="A120" s="143">
        <v>26700</v>
      </c>
      <c r="B120" s="152">
        <v>0.21600000000000003</v>
      </c>
      <c r="C120" s="152">
        <v>0.24600000000000002</v>
      </c>
      <c r="D120" s="152">
        <v>0.27500000000000002</v>
      </c>
      <c r="E120" s="152">
        <v>0.44500000000000001</v>
      </c>
      <c r="F120" s="143">
        <v>26700</v>
      </c>
      <c r="G120" s="146">
        <v>0.216</v>
      </c>
      <c r="H120" s="151">
        <v>0.44500000000000001</v>
      </c>
    </row>
    <row r="121" spans="1:8">
      <c r="A121" s="143">
        <v>26800</v>
      </c>
      <c r="B121" s="152">
        <v>0.217</v>
      </c>
      <c r="C121" s="152">
        <v>0.247</v>
      </c>
      <c r="D121" s="152">
        <v>0.27600000000000002</v>
      </c>
      <c r="E121" s="152">
        <v>0.44500000000000001</v>
      </c>
      <c r="F121" s="143">
        <v>26800</v>
      </c>
      <c r="G121" s="146">
        <v>0.217</v>
      </c>
      <c r="H121" s="151">
        <v>0.44500000000000001</v>
      </c>
    </row>
    <row r="122" spans="1:8">
      <c r="A122" s="143">
        <v>26900</v>
      </c>
      <c r="B122" s="152">
        <v>0.218</v>
      </c>
      <c r="C122" s="152">
        <v>0.248</v>
      </c>
      <c r="D122" s="152">
        <v>0.27699999999999997</v>
      </c>
      <c r="E122" s="152">
        <v>0.44600000000000001</v>
      </c>
      <c r="F122" s="143">
        <v>26900</v>
      </c>
      <c r="G122" s="146">
        <v>0.218</v>
      </c>
      <c r="H122" s="151">
        <v>0.44600000000000001</v>
      </c>
    </row>
    <row r="123" spans="1:8">
      <c r="A123" s="143">
        <v>27000</v>
      </c>
      <c r="B123" s="152">
        <v>0.21899999999999997</v>
      </c>
      <c r="C123" s="152">
        <v>0.249</v>
      </c>
      <c r="D123" s="152">
        <v>0.27800000000000002</v>
      </c>
      <c r="E123" s="152">
        <v>0.44600000000000001</v>
      </c>
      <c r="F123" s="143">
        <v>27000</v>
      </c>
      <c r="G123" s="146">
        <v>0.219</v>
      </c>
      <c r="H123" s="151">
        <v>0.44600000000000001</v>
      </c>
    </row>
    <row r="124" spans="1:8">
      <c r="A124" s="143">
        <v>27100</v>
      </c>
      <c r="B124" s="152">
        <v>0.22</v>
      </c>
      <c r="C124" s="152">
        <v>0.25</v>
      </c>
      <c r="D124" s="152">
        <v>0.27800000000000002</v>
      </c>
      <c r="E124" s="152">
        <v>0.44600000000000001</v>
      </c>
      <c r="F124" s="143">
        <v>27100</v>
      </c>
      <c r="G124" s="146">
        <v>0.22</v>
      </c>
      <c r="H124" s="151">
        <v>0.44600000000000001</v>
      </c>
    </row>
    <row r="125" spans="1:8">
      <c r="A125" s="143">
        <v>27200</v>
      </c>
      <c r="B125" s="152">
        <v>0.221</v>
      </c>
      <c r="C125" s="152">
        <v>0.251</v>
      </c>
      <c r="D125" s="152">
        <v>0.27899999999999997</v>
      </c>
      <c r="E125" s="152">
        <v>0.44600000000000001</v>
      </c>
      <c r="F125" s="143">
        <v>27200</v>
      </c>
      <c r="G125" s="146">
        <v>0.221</v>
      </c>
      <c r="H125" s="151">
        <v>0.44600000000000001</v>
      </c>
    </row>
    <row r="126" spans="1:8">
      <c r="A126" s="143">
        <v>27300</v>
      </c>
      <c r="B126" s="152">
        <v>0.222</v>
      </c>
      <c r="C126" s="152">
        <v>0.252</v>
      </c>
      <c r="D126" s="152">
        <v>0.28000000000000003</v>
      </c>
      <c r="E126" s="152">
        <v>0.44600000000000001</v>
      </c>
      <c r="F126" s="143">
        <v>27300</v>
      </c>
      <c r="G126" s="146">
        <v>0.222</v>
      </c>
      <c r="H126" s="151">
        <v>0.44600000000000001</v>
      </c>
    </row>
    <row r="127" spans="1:8">
      <c r="A127" s="143">
        <v>27400</v>
      </c>
      <c r="B127" s="152">
        <v>0.223</v>
      </c>
      <c r="C127" s="152">
        <v>0.253</v>
      </c>
      <c r="D127" s="152">
        <v>0.28100000000000003</v>
      </c>
      <c r="E127" s="152">
        <v>0.44600000000000001</v>
      </c>
      <c r="F127" s="143">
        <v>27400</v>
      </c>
      <c r="G127" s="146">
        <v>0.223</v>
      </c>
      <c r="H127" s="151">
        <v>0.44600000000000001</v>
      </c>
    </row>
    <row r="128" spans="1:8">
      <c r="A128" s="143">
        <v>27500</v>
      </c>
      <c r="B128" s="152">
        <v>0.22399999999999998</v>
      </c>
      <c r="C128" s="152">
        <v>0.254</v>
      </c>
      <c r="D128" s="152">
        <v>0.28199999999999997</v>
      </c>
      <c r="E128" s="152">
        <v>0.44600000000000001</v>
      </c>
      <c r="F128" s="143">
        <v>27500</v>
      </c>
      <c r="G128" s="146">
        <v>0.224</v>
      </c>
      <c r="H128" s="151">
        <v>0.44600000000000001</v>
      </c>
    </row>
    <row r="129" spans="1:8">
      <c r="A129" s="143">
        <v>27600</v>
      </c>
      <c r="B129" s="152">
        <v>0.22500000000000001</v>
      </c>
      <c r="C129" s="152">
        <v>0.255</v>
      </c>
      <c r="D129" s="152">
        <v>0.28300000000000003</v>
      </c>
      <c r="E129" s="152">
        <v>0.44700000000000001</v>
      </c>
      <c r="F129" s="143">
        <v>27600</v>
      </c>
      <c r="G129" s="146">
        <v>0.22500000000000001</v>
      </c>
      <c r="H129" s="151">
        <v>0.44700000000000001</v>
      </c>
    </row>
    <row r="130" spans="1:8">
      <c r="A130" s="143">
        <v>27700</v>
      </c>
      <c r="B130" s="152">
        <v>0.22699999999999998</v>
      </c>
      <c r="C130" s="152">
        <v>0.25600000000000001</v>
      </c>
      <c r="D130" s="152">
        <v>0.28399999999999997</v>
      </c>
      <c r="E130" s="152">
        <v>0.44700000000000001</v>
      </c>
      <c r="F130" s="143">
        <v>27700</v>
      </c>
      <c r="G130" s="146">
        <v>0.22700000000000001</v>
      </c>
      <c r="H130" s="151">
        <v>0.44700000000000001</v>
      </c>
    </row>
    <row r="131" spans="1:8">
      <c r="A131" s="143">
        <v>27800</v>
      </c>
      <c r="B131" s="152">
        <v>0.22800000000000001</v>
      </c>
      <c r="C131" s="152">
        <v>0.25700000000000001</v>
      </c>
      <c r="D131" s="152">
        <v>0.28399999999999997</v>
      </c>
      <c r="E131" s="152">
        <v>0.44700000000000001</v>
      </c>
      <c r="F131" s="143">
        <v>27800</v>
      </c>
      <c r="G131" s="146">
        <v>0.22800000000000001</v>
      </c>
      <c r="H131" s="151">
        <v>0.44700000000000001</v>
      </c>
    </row>
    <row r="132" spans="1:8">
      <c r="A132" s="143">
        <v>27900</v>
      </c>
      <c r="B132" s="152">
        <v>0.22899999999999998</v>
      </c>
      <c r="C132" s="152">
        <v>0.25800000000000001</v>
      </c>
      <c r="D132" s="152">
        <v>0.28499999999999998</v>
      </c>
      <c r="E132" s="152">
        <v>0.44700000000000001</v>
      </c>
      <c r="F132" s="143">
        <v>27900</v>
      </c>
      <c r="G132" s="146">
        <v>0.22900000000000001</v>
      </c>
      <c r="H132" s="151">
        <v>0.44700000000000001</v>
      </c>
    </row>
    <row r="133" spans="1:8">
      <c r="A133" s="143">
        <v>28000</v>
      </c>
      <c r="B133" s="152">
        <v>0.23</v>
      </c>
      <c r="C133" s="152">
        <v>0.25900000000000001</v>
      </c>
      <c r="D133" s="152">
        <v>0.28600000000000003</v>
      </c>
      <c r="E133" s="152">
        <v>0.44700000000000001</v>
      </c>
      <c r="F133" s="143">
        <v>28000</v>
      </c>
      <c r="G133" s="146">
        <v>0.23</v>
      </c>
      <c r="H133" s="151">
        <v>0.44700000000000001</v>
      </c>
    </row>
    <row r="134" spans="1:8">
      <c r="A134" s="143">
        <v>28100</v>
      </c>
      <c r="B134" s="152">
        <v>0.23100000000000001</v>
      </c>
      <c r="C134" s="152">
        <v>0.26</v>
      </c>
      <c r="D134" s="152">
        <v>0.28699999999999998</v>
      </c>
      <c r="E134" s="152">
        <v>0.44700000000000001</v>
      </c>
      <c r="F134" s="143">
        <v>28100</v>
      </c>
      <c r="G134" s="146">
        <v>0.23100000000000001</v>
      </c>
      <c r="H134" s="151">
        <v>0.44700000000000001</v>
      </c>
    </row>
    <row r="135" spans="1:8">
      <c r="A135" s="143">
        <v>28200</v>
      </c>
      <c r="B135" s="152">
        <v>0.23199999999999998</v>
      </c>
      <c r="C135" s="152">
        <v>0.26100000000000001</v>
      </c>
      <c r="D135" s="152">
        <v>0.28800000000000003</v>
      </c>
      <c r="E135" s="152">
        <v>0.44799999999999995</v>
      </c>
      <c r="F135" s="143">
        <v>28200</v>
      </c>
      <c r="G135" s="146">
        <v>0.23200000000000001</v>
      </c>
      <c r="H135" s="151">
        <v>0.44800000000000001</v>
      </c>
    </row>
    <row r="136" spans="1:8">
      <c r="A136" s="143">
        <v>28300</v>
      </c>
      <c r="B136" s="152">
        <v>0.23300000000000001</v>
      </c>
      <c r="C136" s="152">
        <v>0.26100000000000001</v>
      </c>
      <c r="D136" s="152">
        <v>0.28899999999999998</v>
      </c>
      <c r="E136" s="152">
        <v>0.44799999999999995</v>
      </c>
      <c r="F136" s="143">
        <v>28300</v>
      </c>
      <c r="G136" s="146">
        <v>0.23300000000000001</v>
      </c>
      <c r="H136" s="151">
        <v>0.44800000000000001</v>
      </c>
    </row>
    <row r="137" spans="1:8">
      <c r="A137" s="143">
        <v>28400</v>
      </c>
      <c r="B137" s="152">
        <v>0.23399999999999999</v>
      </c>
      <c r="C137" s="152">
        <v>0.26200000000000001</v>
      </c>
      <c r="D137" s="152">
        <v>0.28899999999999998</v>
      </c>
      <c r="E137" s="152">
        <v>0.44799999999999995</v>
      </c>
      <c r="F137" s="143">
        <v>28400</v>
      </c>
      <c r="G137" s="146">
        <v>0.23400000000000001</v>
      </c>
      <c r="H137" s="151">
        <v>0.44800000000000001</v>
      </c>
    </row>
    <row r="138" spans="1:8">
      <c r="A138" s="143">
        <v>28500</v>
      </c>
      <c r="B138" s="152">
        <v>0.23499999999999999</v>
      </c>
      <c r="C138" s="152">
        <v>0.26300000000000001</v>
      </c>
      <c r="D138" s="152">
        <v>0.28999999999999998</v>
      </c>
      <c r="E138" s="152">
        <v>0.44799999999999995</v>
      </c>
      <c r="F138" s="143">
        <v>28500</v>
      </c>
      <c r="G138" s="146">
        <v>0.23499999999999999</v>
      </c>
      <c r="H138" s="151">
        <v>0.44800000000000001</v>
      </c>
    </row>
    <row r="139" spans="1:8">
      <c r="A139" s="143">
        <v>28600</v>
      </c>
      <c r="B139" s="152">
        <v>0.23600000000000002</v>
      </c>
      <c r="C139" s="152">
        <v>0.26400000000000001</v>
      </c>
      <c r="D139" s="152">
        <v>0.29100000000000004</v>
      </c>
      <c r="E139" s="152">
        <v>0.44799999999999995</v>
      </c>
      <c r="F139" s="143">
        <v>28600</v>
      </c>
      <c r="G139" s="146">
        <v>0.23599999999999999</v>
      </c>
      <c r="H139" s="151">
        <v>0.44800000000000001</v>
      </c>
    </row>
    <row r="140" spans="1:8">
      <c r="A140" s="143">
        <v>28700</v>
      </c>
      <c r="B140" s="152">
        <v>0.23699999999999999</v>
      </c>
      <c r="C140" s="152">
        <v>0.26500000000000001</v>
      </c>
      <c r="D140" s="152">
        <v>0.29199999999999998</v>
      </c>
      <c r="E140" s="152">
        <v>0.44799999999999995</v>
      </c>
      <c r="F140" s="143">
        <v>28700</v>
      </c>
      <c r="G140" s="146">
        <v>0.23699999999999999</v>
      </c>
      <c r="H140" s="151">
        <v>0.44800000000000001</v>
      </c>
    </row>
    <row r="141" spans="1:8">
      <c r="A141" s="143">
        <v>28800</v>
      </c>
      <c r="B141" s="152">
        <v>0.23800000000000002</v>
      </c>
      <c r="C141" s="152">
        <v>0.26600000000000001</v>
      </c>
      <c r="D141" s="152">
        <v>0.29199999999999998</v>
      </c>
      <c r="E141" s="152">
        <v>0.44799999999999995</v>
      </c>
      <c r="F141" s="143">
        <v>28800</v>
      </c>
      <c r="G141" s="146">
        <v>0.23799999999999999</v>
      </c>
      <c r="H141" s="151">
        <v>0.44800000000000001</v>
      </c>
    </row>
    <row r="142" spans="1:8">
      <c r="A142" s="143">
        <v>28900</v>
      </c>
      <c r="B142" s="152">
        <v>0.23899999999999999</v>
      </c>
      <c r="C142" s="152">
        <v>0.26700000000000002</v>
      </c>
      <c r="D142" s="152">
        <v>0.29299999999999998</v>
      </c>
      <c r="E142" s="152">
        <v>0.44900000000000001</v>
      </c>
      <c r="F142" s="143">
        <v>28900</v>
      </c>
      <c r="G142" s="146">
        <v>0.23899999999999999</v>
      </c>
      <c r="H142" s="151">
        <v>0.44900000000000001</v>
      </c>
    </row>
    <row r="143" spans="1:8">
      <c r="A143" s="143">
        <v>29000</v>
      </c>
      <c r="B143" s="152">
        <v>0.23899999999999999</v>
      </c>
      <c r="C143" s="152">
        <v>0.26800000000000002</v>
      </c>
      <c r="D143" s="152">
        <v>0.29399999999999998</v>
      </c>
      <c r="E143" s="152">
        <v>0.44900000000000001</v>
      </c>
      <c r="F143" s="143">
        <v>29000</v>
      </c>
      <c r="G143" s="146">
        <v>0.23899999999999999</v>
      </c>
      <c r="H143" s="151">
        <v>0.44900000000000001</v>
      </c>
    </row>
    <row r="144" spans="1:8">
      <c r="A144" s="143">
        <v>29100</v>
      </c>
      <c r="B144" s="152">
        <v>0.24</v>
      </c>
      <c r="C144" s="152">
        <v>0.26800000000000002</v>
      </c>
      <c r="D144" s="152">
        <v>0.29499999999999998</v>
      </c>
      <c r="E144" s="152">
        <v>0.44900000000000001</v>
      </c>
      <c r="F144" s="143">
        <v>29100</v>
      </c>
      <c r="G144" s="146">
        <v>0.24</v>
      </c>
      <c r="H144" s="151">
        <v>0.44900000000000001</v>
      </c>
    </row>
    <row r="145" spans="1:8">
      <c r="A145" s="143">
        <v>29200</v>
      </c>
      <c r="B145" s="152">
        <v>0.24100000000000002</v>
      </c>
      <c r="C145" s="152">
        <v>0.26899999999999996</v>
      </c>
      <c r="D145" s="152">
        <v>0.29600000000000004</v>
      </c>
      <c r="E145" s="152">
        <v>0.44900000000000001</v>
      </c>
      <c r="F145" s="143">
        <v>29200</v>
      </c>
      <c r="G145" s="146">
        <v>0.24099999999999999</v>
      </c>
      <c r="H145" s="151">
        <v>0.44900000000000001</v>
      </c>
    </row>
    <row r="146" spans="1:8">
      <c r="A146" s="143">
        <v>29300</v>
      </c>
      <c r="B146" s="152">
        <v>0.24199999999999999</v>
      </c>
      <c r="C146" s="152">
        <v>0.27</v>
      </c>
      <c r="D146" s="152">
        <v>0.29600000000000004</v>
      </c>
      <c r="E146" s="152">
        <v>0.44900000000000001</v>
      </c>
      <c r="F146" s="143">
        <v>29300</v>
      </c>
      <c r="G146" s="146">
        <v>0.24199999999999999</v>
      </c>
      <c r="H146" s="151">
        <v>0.44900000000000001</v>
      </c>
    </row>
    <row r="147" spans="1:8">
      <c r="A147" s="143">
        <v>29400</v>
      </c>
      <c r="B147" s="152">
        <v>0.24299999999999999</v>
      </c>
      <c r="C147" s="152">
        <v>0.27100000000000002</v>
      </c>
      <c r="D147" s="152">
        <v>0.29699999999999999</v>
      </c>
      <c r="E147" s="152">
        <v>0.44900000000000001</v>
      </c>
      <c r="F147" s="143">
        <v>29400</v>
      </c>
      <c r="G147" s="146">
        <v>0.24299999999999999</v>
      </c>
      <c r="H147" s="151">
        <v>0.44900000000000001</v>
      </c>
    </row>
    <row r="148" spans="1:8">
      <c r="A148" s="143">
        <v>29500</v>
      </c>
      <c r="B148" s="152">
        <v>0.24399999999999999</v>
      </c>
      <c r="C148" s="152">
        <v>0.27200000000000002</v>
      </c>
      <c r="D148" s="152">
        <v>0.29799999999999999</v>
      </c>
      <c r="E148" s="152">
        <v>0.44900000000000001</v>
      </c>
      <c r="F148" s="143">
        <v>29500</v>
      </c>
      <c r="G148" s="146">
        <v>0.24399999999999999</v>
      </c>
      <c r="H148" s="151">
        <v>0.44900000000000001</v>
      </c>
    </row>
    <row r="149" spans="1:8">
      <c r="A149" s="143">
        <v>29600</v>
      </c>
      <c r="B149" s="152">
        <v>0.245</v>
      </c>
      <c r="C149" s="152">
        <v>0.27300000000000002</v>
      </c>
      <c r="D149" s="152">
        <v>0.29799999999999999</v>
      </c>
      <c r="E149" s="152">
        <v>0.45</v>
      </c>
      <c r="F149" s="143">
        <v>29600</v>
      </c>
      <c r="G149" s="146">
        <v>0.245</v>
      </c>
      <c r="H149" s="151">
        <v>0.45</v>
      </c>
    </row>
    <row r="150" spans="1:8">
      <c r="A150" s="143">
        <v>29700</v>
      </c>
      <c r="B150" s="152">
        <v>0.24600000000000002</v>
      </c>
      <c r="C150" s="152">
        <v>0.27300000000000002</v>
      </c>
      <c r="D150" s="152">
        <v>0.29899999999999999</v>
      </c>
      <c r="E150" s="152">
        <v>0.45</v>
      </c>
      <c r="F150" s="143">
        <v>29700</v>
      </c>
      <c r="G150" s="146">
        <v>0.246</v>
      </c>
      <c r="H150" s="151">
        <v>0.45</v>
      </c>
    </row>
    <row r="151" spans="1:8">
      <c r="A151" s="143">
        <v>29800</v>
      </c>
      <c r="B151" s="152">
        <v>0.247</v>
      </c>
      <c r="C151" s="152">
        <v>0.27399999999999997</v>
      </c>
      <c r="D151" s="152">
        <v>0.3</v>
      </c>
      <c r="E151" s="152">
        <v>0.45</v>
      </c>
      <c r="F151" s="143">
        <v>29800</v>
      </c>
      <c r="G151" s="146">
        <v>0.247</v>
      </c>
      <c r="H151" s="151">
        <v>0.45</v>
      </c>
    </row>
    <row r="152" spans="1:8">
      <c r="A152" s="143">
        <v>29900</v>
      </c>
      <c r="B152" s="152">
        <v>0.248</v>
      </c>
      <c r="C152" s="152">
        <v>0.27500000000000002</v>
      </c>
      <c r="D152" s="152">
        <v>0.30099999999999999</v>
      </c>
      <c r="E152" s="152">
        <v>0.45</v>
      </c>
      <c r="F152" s="143">
        <v>29900</v>
      </c>
      <c r="G152" s="146">
        <v>0.248</v>
      </c>
      <c r="H152" s="151">
        <v>0.45</v>
      </c>
    </row>
    <row r="153" spans="1:8">
      <c r="A153" s="143">
        <v>30000</v>
      </c>
      <c r="B153" s="152">
        <v>0.249</v>
      </c>
      <c r="C153" s="152">
        <v>0.27600000000000002</v>
      </c>
      <c r="D153" s="152">
        <v>0.30099999999999999</v>
      </c>
      <c r="E153" s="152">
        <v>0.45</v>
      </c>
      <c r="F153" s="143">
        <v>30000</v>
      </c>
      <c r="G153" s="146">
        <v>0.249</v>
      </c>
      <c r="H153" s="151">
        <v>0.45</v>
      </c>
    </row>
    <row r="154" spans="1:8">
      <c r="A154" s="143">
        <v>30100</v>
      </c>
      <c r="B154" s="152">
        <v>0.25</v>
      </c>
      <c r="C154" s="152">
        <v>0.27699999999999997</v>
      </c>
      <c r="D154" s="152">
        <v>1</v>
      </c>
      <c r="E154" s="152">
        <v>0.45</v>
      </c>
      <c r="F154" s="143">
        <v>30100</v>
      </c>
      <c r="G154" s="146">
        <v>0.25</v>
      </c>
      <c r="H154" s="151">
        <v>0.45</v>
      </c>
    </row>
    <row r="155" spans="1:8">
      <c r="A155" s="143">
        <v>30200</v>
      </c>
      <c r="B155" s="152">
        <v>0.25</v>
      </c>
      <c r="C155" s="152">
        <v>0.27699999999999997</v>
      </c>
      <c r="D155" s="152">
        <v>1</v>
      </c>
      <c r="E155" s="152">
        <v>0.45</v>
      </c>
      <c r="F155" s="143">
        <v>30200</v>
      </c>
      <c r="G155" s="146">
        <v>0.25</v>
      </c>
      <c r="H155" s="151">
        <v>0.45</v>
      </c>
    </row>
    <row r="156" spans="1:8">
      <c r="A156" s="143">
        <v>30300</v>
      </c>
      <c r="B156" s="152">
        <v>0.251</v>
      </c>
      <c r="C156" s="152">
        <v>0.27800000000000002</v>
      </c>
      <c r="D156" s="152">
        <v>1</v>
      </c>
      <c r="E156" s="152">
        <v>0.45</v>
      </c>
      <c r="F156" s="143">
        <v>30300</v>
      </c>
      <c r="G156" s="146">
        <v>0.251</v>
      </c>
      <c r="H156" s="151">
        <v>0.45</v>
      </c>
    </row>
    <row r="157" spans="1:8">
      <c r="A157" s="143">
        <v>30400</v>
      </c>
      <c r="B157" s="152">
        <v>0.252</v>
      </c>
      <c r="C157" s="152">
        <v>0.27899999999999997</v>
      </c>
      <c r="D157" s="152">
        <v>1</v>
      </c>
      <c r="E157" s="152">
        <v>0.45100000000000001</v>
      </c>
      <c r="F157" s="143">
        <v>30400</v>
      </c>
      <c r="G157" s="146">
        <v>0.252</v>
      </c>
      <c r="H157" s="151">
        <v>0.45100000000000001</v>
      </c>
    </row>
    <row r="158" spans="1:8">
      <c r="A158" s="143">
        <v>30500</v>
      </c>
      <c r="B158" s="152">
        <v>0.253</v>
      </c>
      <c r="C158" s="152">
        <v>0.28000000000000003</v>
      </c>
      <c r="D158" s="152">
        <v>1</v>
      </c>
      <c r="E158" s="152">
        <v>0.45100000000000001</v>
      </c>
      <c r="F158" s="143">
        <v>30500</v>
      </c>
      <c r="G158" s="146">
        <v>0.253</v>
      </c>
      <c r="H158" s="151">
        <v>0.45100000000000001</v>
      </c>
    </row>
    <row r="159" spans="1:8">
      <c r="A159" s="143">
        <v>30600</v>
      </c>
      <c r="B159" s="152">
        <v>0.254</v>
      </c>
      <c r="C159" s="152">
        <v>0.28100000000000003</v>
      </c>
      <c r="D159" s="152">
        <v>1</v>
      </c>
      <c r="E159" s="152">
        <v>0.45100000000000001</v>
      </c>
      <c r="F159" s="143">
        <v>30600</v>
      </c>
      <c r="G159" s="146">
        <v>0.254</v>
      </c>
      <c r="H159" s="151">
        <v>0.45100000000000001</v>
      </c>
    </row>
    <row r="160" spans="1:8">
      <c r="A160" s="143">
        <v>30700</v>
      </c>
      <c r="B160" s="152">
        <v>0.255</v>
      </c>
      <c r="C160" s="152">
        <v>0.28100000000000003</v>
      </c>
      <c r="D160" s="152">
        <v>1</v>
      </c>
      <c r="E160" s="152">
        <v>0.45100000000000001</v>
      </c>
      <c r="F160" s="143">
        <v>30700</v>
      </c>
      <c r="G160" s="146">
        <v>0.255</v>
      </c>
      <c r="H160" s="151">
        <v>0.45100000000000001</v>
      </c>
    </row>
    <row r="161" spans="1:8">
      <c r="A161" s="143">
        <v>30800</v>
      </c>
      <c r="B161" s="152">
        <v>0.25600000000000001</v>
      </c>
      <c r="C161" s="152">
        <v>0.28199999999999997</v>
      </c>
      <c r="D161" s="152">
        <v>1</v>
      </c>
      <c r="E161" s="152">
        <v>0.45100000000000001</v>
      </c>
      <c r="F161" s="143">
        <v>30800</v>
      </c>
      <c r="G161" s="146">
        <v>0.25600000000000001</v>
      </c>
      <c r="H161" s="151">
        <v>0.45100000000000001</v>
      </c>
    </row>
    <row r="162" spans="1:8">
      <c r="A162" s="143">
        <v>30900</v>
      </c>
      <c r="B162" s="152">
        <v>0.25600000000000001</v>
      </c>
      <c r="C162" s="152">
        <v>0.28300000000000003</v>
      </c>
      <c r="D162" s="152">
        <v>1</v>
      </c>
      <c r="E162" s="152">
        <v>0.45100000000000001</v>
      </c>
      <c r="F162" s="143">
        <v>30900</v>
      </c>
      <c r="G162" s="146">
        <v>0.25600000000000001</v>
      </c>
      <c r="H162" s="151">
        <v>0.45100000000000001</v>
      </c>
    </row>
    <row r="163" spans="1:8">
      <c r="A163" s="143">
        <v>31000</v>
      </c>
      <c r="B163" s="152">
        <v>0.25700000000000001</v>
      </c>
      <c r="C163" s="152">
        <v>0.28399999999999997</v>
      </c>
      <c r="D163" s="152">
        <v>1</v>
      </c>
      <c r="E163" s="152">
        <v>0.45100000000000001</v>
      </c>
      <c r="F163" s="143">
        <v>31000</v>
      </c>
      <c r="G163" s="146">
        <v>0.25700000000000001</v>
      </c>
      <c r="H163" s="151">
        <v>0.45100000000000001</v>
      </c>
    </row>
    <row r="164" spans="1:8">
      <c r="A164" s="143">
        <v>31100</v>
      </c>
      <c r="B164" s="152">
        <v>0.25800000000000001</v>
      </c>
      <c r="C164" s="152">
        <v>0.28399999999999997</v>
      </c>
      <c r="D164" s="152">
        <v>1</v>
      </c>
      <c r="E164" s="152">
        <v>0.45100000000000001</v>
      </c>
      <c r="F164" s="143">
        <v>31100</v>
      </c>
      <c r="G164" s="146">
        <v>0.25800000000000001</v>
      </c>
      <c r="H164" s="151">
        <v>0.45100000000000001</v>
      </c>
    </row>
    <row r="165" spans="1:8">
      <c r="A165" s="143">
        <v>31200</v>
      </c>
      <c r="B165" s="152">
        <v>0.25900000000000001</v>
      </c>
      <c r="C165" s="152">
        <v>0.28499999999999998</v>
      </c>
      <c r="D165" s="152">
        <v>1</v>
      </c>
      <c r="E165" s="152">
        <v>0.45200000000000001</v>
      </c>
      <c r="F165" s="143">
        <v>31200</v>
      </c>
      <c r="G165" s="146">
        <v>0.25900000000000001</v>
      </c>
      <c r="H165" s="151">
        <v>0.45200000000000001</v>
      </c>
    </row>
    <row r="166" spans="1:8">
      <c r="A166" s="143">
        <v>31300</v>
      </c>
      <c r="B166" s="152">
        <v>0.26</v>
      </c>
      <c r="C166" s="152">
        <v>0.28600000000000003</v>
      </c>
      <c r="D166" s="152">
        <v>1</v>
      </c>
      <c r="E166" s="152">
        <v>0.45200000000000001</v>
      </c>
      <c r="F166" s="143">
        <v>31300</v>
      </c>
      <c r="G166" s="146">
        <v>0.26</v>
      </c>
      <c r="H166" s="151">
        <v>0.45200000000000001</v>
      </c>
    </row>
    <row r="167" spans="1:8">
      <c r="A167" s="143">
        <v>31400</v>
      </c>
      <c r="B167" s="152">
        <v>0.26100000000000001</v>
      </c>
      <c r="C167" s="152">
        <v>0.28699999999999998</v>
      </c>
      <c r="D167" s="152">
        <v>1</v>
      </c>
      <c r="E167" s="152">
        <v>0.45200000000000001</v>
      </c>
      <c r="F167" s="143">
        <v>31400</v>
      </c>
      <c r="G167" s="146">
        <v>0.26100000000000001</v>
      </c>
      <c r="H167" s="151">
        <v>0.45200000000000001</v>
      </c>
    </row>
    <row r="168" spans="1:8">
      <c r="A168" s="143">
        <v>31500</v>
      </c>
      <c r="B168" s="152">
        <v>0.26100000000000001</v>
      </c>
      <c r="C168" s="152">
        <v>0.28699999999999998</v>
      </c>
      <c r="D168" s="152">
        <v>1</v>
      </c>
      <c r="E168" s="152">
        <v>0.45200000000000001</v>
      </c>
      <c r="F168" s="143">
        <v>31500</v>
      </c>
      <c r="G168" s="146">
        <v>0.26100000000000001</v>
      </c>
      <c r="H168" s="151">
        <v>0.45200000000000001</v>
      </c>
    </row>
    <row r="169" spans="1:8">
      <c r="A169" s="143">
        <v>31600</v>
      </c>
      <c r="B169" s="152">
        <v>0.26200000000000001</v>
      </c>
      <c r="C169" s="152">
        <v>0.28800000000000003</v>
      </c>
      <c r="D169" s="152">
        <v>1</v>
      </c>
      <c r="E169" s="152">
        <v>0.45200000000000001</v>
      </c>
      <c r="F169" s="143">
        <v>31600</v>
      </c>
      <c r="G169" s="146">
        <v>0.26200000000000001</v>
      </c>
      <c r="H169" s="151">
        <v>0.45200000000000001</v>
      </c>
    </row>
    <row r="170" spans="1:8">
      <c r="A170" s="143">
        <v>31700</v>
      </c>
      <c r="B170" s="152">
        <v>0.26300000000000001</v>
      </c>
      <c r="C170" s="152">
        <v>0.28899999999999998</v>
      </c>
      <c r="D170" s="152">
        <v>1</v>
      </c>
      <c r="E170" s="152">
        <v>0.45200000000000001</v>
      </c>
      <c r="F170" s="143">
        <v>31700</v>
      </c>
      <c r="G170" s="146">
        <v>0.26300000000000001</v>
      </c>
      <c r="H170" s="151">
        <v>0.45200000000000001</v>
      </c>
    </row>
    <row r="171" spans="1:8">
      <c r="A171" s="143">
        <v>31800</v>
      </c>
      <c r="B171" s="152">
        <v>0.26400000000000001</v>
      </c>
      <c r="C171" s="152">
        <v>0.28899999999999998</v>
      </c>
      <c r="D171" s="152">
        <v>1</v>
      </c>
      <c r="E171" s="152">
        <v>0.45200000000000001</v>
      </c>
      <c r="F171" s="143">
        <v>31800</v>
      </c>
      <c r="G171" s="146">
        <v>0.26400000000000001</v>
      </c>
      <c r="H171" s="151">
        <v>0.45200000000000001</v>
      </c>
    </row>
    <row r="172" spans="1:8">
      <c r="A172" s="143">
        <v>31900</v>
      </c>
      <c r="B172" s="152">
        <v>0.26500000000000001</v>
      </c>
      <c r="C172" s="152">
        <v>0.28999999999999998</v>
      </c>
      <c r="D172" s="152">
        <v>1</v>
      </c>
      <c r="E172" s="152">
        <v>0.45200000000000001</v>
      </c>
      <c r="F172" s="143">
        <v>31900</v>
      </c>
      <c r="G172" s="146">
        <v>0.26500000000000001</v>
      </c>
      <c r="H172" s="151">
        <v>0.45200000000000001</v>
      </c>
    </row>
    <row r="173" spans="1:8">
      <c r="A173" s="143">
        <v>32000</v>
      </c>
      <c r="B173" s="152">
        <v>0.26500000000000001</v>
      </c>
      <c r="C173" s="152">
        <v>0.29100000000000004</v>
      </c>
      <c r="D173" s="152">
        <v>1</v>
      </c>
      <c r="E173" s="152">
        <v>0.45200000000000001</v>
      </c>
      <c r="F173" s="143">
        <v>32000</v>
      </c>
      <c r="G173" s="146">
        <v>0.26500000000000001</v>
      </c>
      <c r="H173" s="151">
        <v>0.45200000000000001</v>
      </c>
    </row>
    <row r="174" spans="1:8">
      <c r="A174" s="143">
        <v>32100</v>
      </c>
      <c r="B174" s="152">
        <v>0.26600000000000001</v>
      </c>
      <c r="C174" s="152">
        <v>0.29199999999999998</v>
      </c>
      <c r="D174" s="152">
        <v>1</v>
      </c>
      <c r="E174" s="152">
        <v>0.45299999999999996</v>
      </c>
      <c r="F174" s="143">
        <v>32100</v>
      </c>
      <c r="G174" s="146">
        <v>0.25600000000000001</v>
      </c>
      <c r="H174" s="151">
        <v>0.45300000000000001</v>
      </c>
    </row>
    <row r="175" spans="1:8">
      <c r="A175" s="143">
        <v>32200</v>
      </c>
      <c r="B175" s="152">
        <v>0.26700000000000002</v>
      </c>
      <c r="C175" s="152">
        <v>0.29199999999999998</v>
      </c>
      <c r="D175" s="152">
        <v>1</v>
      </c>
      <c r="E175" s="152">
        <v>0.45299999999999996</v>
      </c>
      <c r="F175" s="143">
        <v>32200</v>
      </c>
      <c r="G175" s="146">
        <v>0.26700000000000002</v>
      </c>
      <c r="H175" s="151">
        <v>0.45300000000000001</v>
      </c>
    </row>
    <row r="176" spans="1:8">
      <c r="A176" s="143">
        <v>32300</v>
      </c>
      <c r="B176" s="152">
        <v>0.26800000000000002</v>
      </c>
      <c r="C176" s="152">
        <v>0.29299999999999998</v>
      </c>
      <c r="D176" s="152">
        <v>1</v>
      </c>
      <c r="E176" s="152">
        <v>0.45299999999999996</v>
      </c>
      <c r="F176" s="143">
        <v>32300</v>
      </c>
      <c r="G176" s="146">
        <v>0.26800000000000002</v>
      </c>
      <c r="H176" s="151">
        <v>0.45300000000000001</v>
      </c>
    </row>
    <row r="177" spans="1:8">
      <c r="A177" s="143">
        <v>32400</v>
      </c>
      <c r="B177" s="152">
        <v>0.26800000000000002</v>
      </c>
      <c r="C177" s="152">
        <v>0.29399999999999998</v>
      </c>
      <c r="D177" s="152">
        <v>1</v>
      </c>
      <c r="E177" s="152">
        <v>0.45299999999999996</v>
      </c>
      <c r="F177" s="143">
        <v>32400</v>
      </c>
      <c r="G177" s="146">
        <v>0.26800000000000002</v>
      </c>
      <c r="H177" s="151">
        <v>0.45300000000000001</v>
      </c>
    </row>
    <row r="178" spans="1:8">
      <c r="A178" s="143">
        <v>32500</v>
      </c>
      <c r="B178" s="152">
        <v>0.253</v>
      </c>
      <c r="C178" s="152">
        <v>0.29399999999999998</v>
      </c>
      <c r="D178" s="152">
        <v>1</v>
      </c>
      <c r="E178" s="152">
        <v>0.45299999999999996</v>
      </c>
      <c r="F178" s="143">
        <v>32500</v>
      </c>
      <c r="G178" s="146">
        <v>0.26900000000000002</v>
      </c>
      <c r="H178" s="151">
        <v>0.45300000000000001</v>
      </c>
    </row>
    <row r="179" spans="1:8">
      <c r="A179" s="143">
        <v>32600</v>
      </c>
      <c r="B179" s="152">
        <v>0.27</v>
      </c>
      <c r="C179" s="152">
        <v>0.29499999999999998</v>
      </c>
      <c r="D179" s="152">
        <v>1</v>
      </c>
      <c r="E179" s="152">
        <v>0.45299999999999996</v>
      </c>
      <c r="F179" s="143">
        <v>32600</v>
      </c>
      <c r="G179" s="146">
        <v>0.27</v>
      </c>
      <c r="H179" s="151">
        <v>0.45300000000000001</v>
      </c>
    </row>
    <row r="180" spans="1:8">
      <c r="A180" s="143">
        <v>32700</v>
      </c>
      <c r="B180" s="152">
        <v>0.27100000000000002</v>
      </c>
      <c r="C180" s="152">
        <v>0.29600000000000004</v>
      </c>
      <c r="D180" s="152">
        <v>1</v>
      </c>
      <c r="E180" s="152">
        <v>0.45299999999999996</v>
      </c>
      <c r="F180" s="143">
        <v>32700</v>
      </c>
      <c r="G180" s="146">
        <v>0.27100000000000002</v>
      </c>
      <c r="H180" s="151">
        <v>0.45300000000000001</v>
      </c>
    </row>
    <row r="181" spans="1:8">
      <c r="A181" s="143">
        <v>32800</v>
      </c>
      <c r="B181" s="152">
        <v>0.27100000000000002</v>
      </c>
      <c r="C181" s="152">
        <v>0.29600000000000004</v>
      </c>
      <c r="D181" s="152">
        <v>1</v>
      </c>
      <c r="E181" s="152">
        <v>0.45299999999999996</v>
      </c>
      <c r="F181" s="143">
        <v>32800</v>
      </c>
      <c r="G181" s="146">
        <v>0.27100000000000002</v>
      </c>
      <c r="H181" s="151">
        <v>0.45300000000000001</v>
      </c>
    </row>
    <row r="182" spans="1:8">
      <c r="A182" s="143">
        <v>32900</v>
      </c>
      <c r="B182" s="152">
        <v>0.27200000000000002</v>
      </c>
      <c r="C182" s="152">
        <v>0.29699999999999999</v>
      </c>
      <c r="D182" s="152">
        <v>1</v>
      </c>
      <c r="E182" s="152">
        <v>0.45299999999999996</v>
      </c>
      <c r="F182" s="143">
        <v>32900</v>
      </c>
      <c r="G182" s="146">
        <v>0.27200000000000002</v>
      </c>
      <c r="H182" s="151">
        <v>0.45300000000000001</v>
      </c>
    </row>
    <row r="183" spans="1:8">
      <c r="A183" s="143">
        <v>33000</v>
      </c>
      <c r="B183" s="152">
        <v>0.27300000000000002</v>
      </c>
      <c r="C183" s="152">
        <v>0.29799999999999999</v>
      </c>
      <c r="D183" s="152">
        <v>1</v>
      </c>
      <c r="E183" s="152">
        <v>0.45399999999999996</v>
      </c>
      <c r="F183" s="143">
        <v>33000</v>
      </c>
      <c r="G183" s="146">
        <v>0.27300000000000002</v>
      </c>
      <c r="H183" s="151">
        <v>0.45400000000000001</v>
      </c>
    </row>
    <row r="184" spans="1:8">
      <c r="A184" s="143">
        <v>33100</v>
      </c>
      <c r="B184" s="152">
        <v>0.27399999999999997</v>
      </c>
      <c r="C184" s="152">
        <v>0.29799999999999999</v>
      </c>
      <c r="D184" s="152">
        <v>1</v>
      </c>
      <c r="E184" s="152">
        <v>0.45399999999999996</v>
      </c>
      <c r="F184" s="143">
        <v>33100</v>
      </c>
      <c r="G184" s="146">
        <v>0.27400000000000002</v>
      </c>
      <c r="H184" s="151">
        <v>0.45400000000000001</v>
      </c>
    </row>
    <row r="185" spans="1:8">
      <c r="A185" s="143">
        <v>33200</v>
      </c>
      <c r="B185" s="152">
        <v>0.27399999999999997</v>
      </c>
      <c r="C185" s="152">
        <v>0.29899999999999999</v>
      </c>
      <c r="D185" s="152">
        <v>1</v>
      </c>
      <c r="E185" s="152">
        <v>0.45399999999999996</v>
      </c>
      <c r="F185" s="143">
        <v>33200</v>
      </c>
      <c r="G185" s="146">
        <v>0.27400000000000002</v>
      </c>
      <c r="H185" s="151">
        <v>0.45400000000000001</v>
      </c>
    </row>
    <row r="186" spans="1:8">
      <c r="A186" s="143">
        <v>33300</v>
      </c>
      <c r="B186" s="152">
        <v>0.27500000000000002</v>
      </c>
      <c r="C186" s="152">
        <v>0.3</v>
      </c>
      <c r="D186" s="152">
        <v>1</v>
      </c>
      <c r="E186" s="152">
        <v>0.45399999999999996</v>
      </c>
      <c r="F186" s="143">
        <v>33300</v>
      </c>
      <c r="G186" s="146">
        <v>0.27500000000000002</v>
      </c>
      <c r="H186" s="151">
        <v>0.45400000000000001</v>
      </c>
    </row>
    <row r="187" spans="1:8">
      <c r="A187" s="143">
        <v>33400</v>
      </c>
      <c r="B187" s="152">
        <v>0.27600000000000002</v>
      </c>
      <c r="C187" s="152">
        <v>0.3</v>
      </c>
      <c r="D187" s="152">
        <v>1</v>
      </c>
      <c r="E187" s="152">
        <v>0.45399999999999996</v>
      </c>
      <c r="F187" s="143">
        <v>33400</v>
      </c>
      <c r="G187" s="146">
        <v>0.27600000000000002</v>
      </c>
      <c r="H187" s="151">
        <v>0.45400000000000001</v>
      </c>
    </row>
    <row r="188" spans="1:8">
      <c r="A188" s="143">
        <v>33500</v>
      </c>
      <c r="B188" s="152">
        <v>0.27699999999999997</v>
      </c>
      <c r="C188" s="152">
        <v>0.30099999999999999</v>
      </c>
      <c r="D188" s="152">
        <v>1</v>
      </c>
      <c r="E188" s="152">
        <v>0.45399999999999996</v>
      </c>
      <c r="F188" s="143">
        <v>33500</v>
      </c>
      <c r="G188" s="146">
        <v>0.27700000000000002</v>
      </c>
      <c r="H188" s="151">
        <v>0.45400000000000001</v>
      </c>
    </row>
    <row r="189" spans="1:8">
      <c r="A189" s="143">
        <v>33600</v>
      </c>
      <c r="B189" s="152">
        <v>0.27699999999999997</v>
      </c>
      <c r="C189" s="152">
        <v>0.30199999999999999</v>
      </c>
      <c r="D189" s="152">
        <v>1</v>
      </c>
      <c r="E189" s="152">
        <v>0.45399999999999996</v>
      </c>
      <c r="F189" s="143">
        <v>33600</v>
      </c>
      <c r="G189" s="146">
        <v>0.27700000000000002</v>
      </c>
      <c r="H189" s="151">
        <v>0.45400000000000001</v>
      </c>
    </row>
    <row r="190" spans="1:8">
      <c r="A190" s="143">
        <v>33700</v>
      </c>
      <c r="B190" s="152">
        <v>0.27800000000000002</v>
      </c>
      <c r="C190" s="152">
        <v>0.30199999999999999</v>
      </c>
      <c r="D190" s="152">
        <v>1</v>
      </c>
      <c r="E190" s="152">
        <v>0.45399999999999996</v>
      </c>
      <c r="F190" s="143">
        <v>33700</v>
      </c>
      <c r="G190" s="146">
        <v>0.27800000000000002</v>
      </c>
      <c r="H190" s="151">
        <v>0.45400000000000001</v>
      </c>
    </row>
    <row r="191" spans="1:8">
      <c r="A191" s="143">
        <v>33800</v>
      </c>
      <c r="B191" s="152">
        <v>0.27899999999999997</v>
      </c>
      <c r="C191" s="152">
        <v>0.30299999999999999</v>
      </c>
      <c r="D191" s="152">
        <v>1</v>
      </c>
      <c r="E191" s="152">
        <v>0.45399999999999996</v>
      </c>
      <c r="F191" s="143">
        <v>33800</v>
      </c>
      <c r="G191" s="146">
        <v>0.27900000000000003</v>
      </c>
      <c r="H191" s="151">
        <v>0.45400000000000001</v>
      </c>
    </row>
    <row r="192" spans="1:8">
      <c r="A192" s="143">
        <v>33900</v>
      </c>
      <c r="B192" s="152">
        <v>0.27899999999999997</v>
      </c>
      <c r="C192" s="152">
        <v>0.30299999999999999</v>
      </c>
      <c r="D192" s="152">
        <v>1</v>
      </c>
      <c r="E192" s="152">
        <v>0.45500000000000002</v>
      </c>
      <c r="F192" s="143">
        <v>33900</v>
      </c>
      <c r="G192" s="146">
        <v>0.27900000000000003</v>
      </c>
      <c r="H192" s="151">
        <v>0.45500000000000002</v>
      </c>
    </row>
    <row r="193" spans="1:8">
      <c r="A193" s="143">
        <v>34000</v>
      </c>
      <c r="B193" s="152">
        <v>0.28000000000000003</v>
      </c>
      <c r="C193" s="152">
        <v>0.30399999999999999</v>
      </c>
      <c r="D193" s="152">
        <v>1</v>
      </c>
      <c r="E193" s="152">
        <v>0.45500000000000002</v>
      </c>
      <c r="F193" s="143">
        <v>34000</v>
      </c>
      <c r="G193" s="146">
        <v>0.28000000000000003</v>
      </c>
      <c r="H193" s="151">
        <v>0.45500000000000002</v>
      </c>
    </row>
    <row r="194" spans="1:8">
      <c r="A194" s="143">
        <v>34100</v>
      </c>
      <c r="B194" s="152">
        <v>0.28100000000000003</v>
      </c>
      <c r="C194" s="152">
        <v>0.30499999999999999</v>
      </c>
      <c r="D194" s="152">
        <v>1</v>
      </c>
      <c r="E194" s="152">
        <v>0.45500000000000002</v>
      </c>
      <c r="F194" s="143">
        <v>34100</v>
      </c>
      <c r="G194" s="146">
        <v>0.28100000000000003</v>
      </c>
      <c r="H194" s="151">
        <v>0.45500000000000002</v>
      </c>
    </row>
    <row r="195" spans="1:8">
      <c r="A195" s="143">
        <v>34200</v>
      </c>
      <c r="B195" s="152">
        <v>0.28100000000000003</v>
      </c>
      <c r="C195" s="152">
        <v>0.30499999999999999</v>
      </c>
      <c r="D195" s="152">
        <v>1</v>
      </c>
      <c r="E195" s="152">
        <v>0.45399999999999996</v>
      </c>
      <c r="F195" s="143">
        <v>34200</v>
      </c>
      <c r="G195" s="146">
        <v>0.28100000000000003</v>
      </c>
      <c r="H195" s="151">
        <v>0.45500000000000002</v>
      </c>
    </row>
    <row r="196" spans="1:8">
      <c r="A196" s="143">
        <v>34300</v>
      </c>
      <c r="B196" s="152">
        <v>0.28199999999999997</v>
      </c>
      <c r="C196" s="152">
        <v>0.30599999999999999</v>
      </c>
      <c r="D196" s="152">
        <v>1</v>
      </c>
      <c r="E196" s="152">
        <v>0.45100000000000001</v>
      </c>
      <c r="F196" s="143">
        <v>34300</v>
      </c>
      <c r="G196" s="146">
        <v>0.28199999999999997</v>
      </c>
      <c r="H196" s="151">
        <v>0.45500000000000002</v>
      </c>
    </row>
    <row r="197" spans="1:8">
      <c r="A197" s="143">
        <v>34400</v>
      </c>
      <c r="B197" s="152">
        <v>0.28300000000000003</v>
      </c>
      <c r="C197" s="152">
        <v>0.307</v>
      </c>
      <c r="D197" s="152">
        <v>1</v>
      </c>
      <c r="E197" s="152">
        <v>0.44799999999999995</v>
      </c>
      <c r="F197" s="143">
        <v>34400</v>
      </c>
      <c r="G197" s="146">
        <v>0.28299999999999997</v>
      </c>
      <c r="H197" s="151">
        <v>0.45500000000000002</v>
      </c>
    </row>
    <row r="198" spans="1:8">
      <c r="A198" s="143">
        <v>34500</v>
      </c>
      <c r="B198" s="152">
        <v>0.28300000000000003</v>
      </c>
      <c r="C198" s="152">
        <v>0.307</v>
      </c>
      <c r="D198" s="152">
        <v>1</v>
      </c>
      <c r="E198" s="152">
        <v>0.44500000000000001</v>
      </c>
      <c r="F198" s="143">
        <v>34500</v>
      </c>
      <c r="G198" s="146">
        <v>0.28299999999999997</v>
      </c>
      <c r="H198" s="151">
        <v>0.45500000000000002</v>
      </c>
    </row>
    <row r="199" spans="1:8">
      <c r="A199" s="143">
        <v>34600</v>
      </c>
      <c r="B199" s="152">
        <v>0.28399999999999997</v>
      </c>
      <c r="C199" s="152">
        <v>0.308</v>
      </c>
      <c r="D199" s="152">
        <v>1</v>
      </c>
      <c r="E199" s="152">
        <v>0.442</v>
      </c>
      <c r="F199" s="143">
        <v>34600</v>
      </c>
      <c r="G199" s="146">
        <v>0.28399999999999997</v>
      </c>
      <c r="H199" s="151">
        <v>0.45500000000000002</v>
      </c>
    </row>
    <row r="200" spans="1:8">
      <c r="A200" s="143">
        <v>34700</v>
      </c>
      <c r="B200" s="152">
        <v>0.28499999999999998</v>
      </c>
      <c r="C200" s="152">
        <v>0.308</v>
      </c>
      <c r="D200" s="152">
        <v>1</v>
      </c>
      <c r="E200" s="152">
        <v>0.439</v>
      </c>
      <c r="F200" s="143">
        <v>34700</v>
      </c>
      <c r="G200" s="146">
        <v>0.28499999999999998</v>
      </c>
      <c r="H200" s="151">
        <v>0.45500000000000002</v>
      </c>
    </row>
    <row r="201" spans="1:8">
      <c r="A201" s="143">
        <v>34800</v>
      </c>
      <c r="B201" s="152">
        <v>0.28499999999999998</v>
      </c>
      <c r="C201" s="152">
        <v>0.309</v>
      </c>
      <c r="D201" s="152">
        <v>1</v>
      </c>
      <c r="E201" s="152">
        <v>0.435</v>
      </c>
      <c r="F201" s="143">
        <v>34800</v>
      </c>
      <c r="G201" s="146">
        <v>0.28499999999999998</v>
      </c>
      <c r="H201" s="151">
        <v>0.45500000000000002</v>
      </c>
    </row>
    <row r="202" spans="1:8">
      <c r="A202" s="143">
        <v>34900</v>
      </c>
      <c r="B202" s="152">
        <v>0.28600000000000003</v>
      </c>
      <c r="C202" s="152">
        <v>0.309</v>
      </c>
      <c r="D202" s="152">
        <v>1</v>
      </c>
      <c r="E202" s="152">
        <v>0.43200000000000005</v>
      </c>
      <c r="F202" s="143">
        <v>34900</v>
      </c>
      <c r="G202" s="146">
        <v>0.28599999999999998</v>
      </c>
      <c r="H202" s="151">
        <v>0.45600000000000002</v>
      </c>
    </row>
    <row r="203" spans="1:8">
      <c r="A203" s="143">
        <v>35000</v>
      </c>
      <c r="B203" s="152">
        <v>0.28699999999999998</v>
      </c>
      <c r="C203" s="152">
        <v>0.31</v>
      </c>
      <c r="D203" s="152">
        <v>1</v>
      </c>
      <c r="E203" s="152">
        <v>0.42899999999999999</v>
      </c>
      <c r="F203" s="143">
        <v>35000</v>
      </c>
      <c r="G203" s="146">
        <v>0.28699999999999998</v>
      </c>
      <c r="H203" s="151">
        <v>0.45600000000000002</v>
      </c>
    </row>
    <row r="204" spans="1:8">
      <c r="A204" s="143">
        <v>35100</v>
      </c>
      <c r="B204" s="152">
        <v>0.28699999999999998</v>
      </c>
      <c r="C204" s="152">
        <v>0.311</v>
      </c>
      <c r="D204" s="152">
        <v>1</v>
      </c>
      <c r="E204" s="152">
        <v>0.42599999999999999</v>
      </c>
      <c r="F204" s="143">
        <v>35100</v>
      </c>
      <c r="G204" s="146">
        <v>0.28699999999999998</v>
      </c>
      <c r="H204" s="151">
        <v>0.45600000000000002</v>
      </c>
    </row>
    <row r="205" spans="1:8">
      <c r="A205" s="143">
        <v>35200</v>
      </c>
      <c r="B205" s="152">
        <v>0.28800000000000003</v>
      </c>
      <c r="C205" s="152">
        <v>0.311</v>
      </c>
      <c r="D205" s="152">
        <v>1</v>
      </c>
      <c r="E205" s="152">
        <v>0.42299999999999999</v>
      </c>
      <c r="F205" s="143">
        <v>35200</v>
      </c>
      <c r="G205" s="146">
        <v>0.28799999999999998</v>
      </c>
      <c r="H205" s="151">
        <v>0.45600000000000002</v>
      </c>
    </row>
    <row r="206" spans="1:8">
      <c r="A206" s="143">
        <v>35300</v>
      </c>
      <c r="B206" s="152">
        <v>0.28899999999999998</v>
      </c>
      <c r="C206" s="152">
        <v>0.312</v>
      </c>
      <c r="D206" s="152">
        <v>1</v>
      </c>
      <c r="E206" s="152">
        <v>0.42</v>
      </c>
      <c r="F206" s="143">
        <v>35300</v>
      </c>
      <c r="G206" s="146">
        <v>0.28899999999999998</v>
      </c>
      <c r="H206" s="151">
        <v>0.45600000000000002</v>
      </c>
    </row>
    <row r="207" spans="1:8">
      <c r="A207" s="143">
        <v>35400</v>
      </c>
      <c r="B207" s="152">
        <v>0.28899999999999998</v>
      </c>
      <c r="C207" s="152">
        <v>0.312</v>
      </c>
      <c r="D207" s="152">
        <v>1</v>
      </c>
      <c r="E207" s="152">
        <v>0.41700000000000004</v>
      </c>
      <c r="F207" s="143">
        <v>35400</v>
      </c>
      <c r="G207" s="146">
        <v>0.28899999999999998</v>
      </c>
      <c r="H207" s="151">
        <v>0.45600000000000002</v>
      </c>
    </row>
    <row r="208" spans="1:8">
      <c r="A208" s="143">
        <v>35500</v>
      </c>
      <c r="B208" s="152">
        <v>0.28999999999999998</v>
      </c>
      <c r="C208" s="152">
        <v>1</v>
      </c>
      <c r="D208" s="152">
        <v>1</v>
      </c>
      <c r="E208" s="152">
        <v>0.41399999999999998</v>
      </c>
      <c r="F208" s="143">
        <v>35500</v>
      </c>
      <c r="G208" s="146">
        <v>0.28999999999999998</v>
      </c>
      <c r="H208" s="151">
        <v>0.45600000000000002</v>
      </c>
    </row>
    <row r="209" spans="1:8">
      <c r="A209" s="143">
        <v>35600</v>
      </c>
      <c r="B209" s="152">
        <v>0.29100000000000004</v>
      </c>
      <c r="C209" s="152">
        <v>1</v>
      </c>
      <c r="D209" s="152">
        <v>1</v>
      </c>
      <c r="E209" s="152">
        <v>0.41100000000000003</v>
      </c>
      <c r="F209" s="143">
        <v>35600</v>
      </c>
      <c r="G209" s="146">
        <v>0.29099999999999998</v>
      </c>
      <c r="H209" s="151">
        <v>0.45600000000000002</v>
      </c>
    </row>
    <row r="210" spans="1:8">
      <c r="A210" s="143">
        <v>35700</v>
      </c>
      <c r="B210" s="152">
        <v>0.29100000000000004</v>
      </c>
      <c r="C210" s="152">
        <v>1</v>
      </c>
      <c r="D210" s="152">
        <v>1</v>
      </c>
      <c r="E210" s="152">
        <v>0.40799999999999997</v>
      </c>
      <c r="F210" s="143">
        <v>35700</v>
      </c>
      <c r="G210" s="146">
        <v>0.29099999999999998</v>
      </c>
      <c r="H210" s="151">
        <v>0.45600000000000002</v>
      </c>
    </row>
    <row r="211" spans="1:8">
      <c r="A211" s="143">
        <v>35800</v>
      </c>
      <c r="B211" s="152">
        <v>0.29199999999999998</v>
      </c>
      <c r="C211" s="152">
        <v>1</v>
      </c>
      <c r="D211" s="152">
        <v>1</v>
      </c>
      <c r="E211" s="152">
        <v>0.40500000000000003</v>
      </c>
      <c r="F211" s="143">
        <v>35800</v>
      </c>
      <c r="G211" s="146">
        <v>0.29199999999999998</v>
      </c>
      <c r="H211" s="151">
        <v>0.45600000000000002</v>
      </c>
    </row>
    <row r="212" spans="1:8">
      <c r="A212" s="143">
        <v>35900</v>
      </c>
      <c r="B212" s="152">
        <v>0.29299999999999998</v>
      </c>
      <c r="C212" s="152">
        <v>1</v>
      </c>
      <c r="D212" s="152">
        <v>1</v>
      </c>
      <c r="E212" s="152">
        <v>0.40200000000000002</v>
      </c>
      <c r="F212" s="143">
        <v>35900</v>
      </c>
      <c r="G212" s="146">
        <v>0.29199999999999998</v>
      </c>
      <c r="H212" s="151">
        <v>0.45600000000000002</v>
      </c>
    </row>
    <row r="213" spans="1:8">
      <c r="A213" s="143">
        <v>36000</v>
      </c>
      <c r="B213" s="152">
        <v>0.29299999999999998</v>
      </c>
      <c r="C213" s="152">
        <v>1</v>
      </c>
      <c r="D213" s="152">
        <v>1</v>
      </c>
      <c r="E213" s="152">
        <v>0.4</v>
      </c>
      <c r="F213" s="143">
        <v>36000</v>
      </c>
      <c r="G213" s="146">
        <v>0.29299999999999998</v>
      </c>
      <c r="H213" s="151">
        <v>0.45700000000000002</v>
      </c>
    </row>
    <row r="214" spans="1:8">
      <c r="A214" s="143">
        <v>36100</v>
      </c>
      <c r="B214" s="152">
        <v>0.29399999999999998</v>
      </c>
      <c r="C214" s="152">
        <v>1</v>
      </c>
      <c r="D214" s="152">
        <v>1</v>
      </c>
      <c r="E214" s="152">
        <v>0.39700000000000002</v>
      </c>
      <c r="F214" s="143">
        <v>36100</v>
      </c>
      <c r="G214" s="146">
        <v>0.29399999999999998</v>
      </c>
      <c r="H214" s="151">
        <v>0.45700000000000002</v>
      </c>
    </row>
    <row r="215" spans="1:8">
      <c r="A215" s="143">
        <v>36200</v>
      </c>
      <c r="B215" s="152">
        <v>0.29399999999999998</v>
      </c>
      <c r="C215" s="152">
        <v>1</v>
      </c>
      <c r="D215" s="152">
        <v>1</v>
      </c>
      <c r="E215" s="152">
        <v>0.39399999999999996</v>
      </c>
      <c r="F215" s="143">
        <v>36200</v>
      </c>
      <c r="G215" s="146">
        <v>0.29399999999999998</v>
      </c>
      <c r="H215" s="151">
        <v>0.45700000000000002</v>
      </c>
    </row>
    <row r="216" spans="1:8">
      <c r="A216" s="143">
        <v>36300</v>
      </c>
      <c r="B216" s="152">
        <v>0.29499999999999998</v>
      </c>
      <c r="C216" s="152">
        <v>1</v>
      </c>
      <c r="D216" s="152">
        <v>1</v>
      </c>
      <c r="E216" s="152">
        <v>0.39100000000000001</v>
      </c>
      <c r="F216" s="143">
        <v>36300</v>
      </c>
      <c r="G216" s="146">
        <v>0.29499999999999998</v>
      </c>
      <c r="H216" s="151">
        <v>0.45700000000000002</v>
      </c>
    </row>
    <row r="217" spans="1:8">
      <c r="A217" s="143">
        <v>36400</v>
      </c>
      <c r="B217" s="152">
        <v>0.29600000000000004</v>
      </c>
      <c r="C217" s="152">
        <v>1</v>
      </c>
      <c r="D217" s="152">
        <v>1</v>
      </c>
      <c r="E217" s="152">
        <v>0.38799999999999996</v>
      </c>
      <c r="F217" s="143">
        <v>36400</v>
      </c>
      <c r="G217" s="146">
        <v>0.29599999999999999</v>
      </c>
      <c r="H217" s="151">
        <v>0.45700000000000002</v>
      </c>
    </row>
    <row r="218" spans="1:8">
      <c r="A218" s="143">
        <v>36500</v>
      </c>
      <c r="B218" s="152">
        <v>0.29600000000000004</v>
      </c>
      <c r="C218" s="152">
        <v>1</v>
      </c>
      <c r="D218" s="152">
        <v>1</v>
      </c>
      <c r="E218" s="152">
        <v>0.38500000000000001</v>
      </c>
      <c r="F218" s="143">
        <v>36500</v>
      </c>
      <c r="G218" s="146">
        <v>0.29599999999999999</v>
      </c>
      <c r="H218" s="151">
        <v>0.45700000000000002</v>
      </c>
    </row>
    <row r="219" spans="1:8">
      <c r="A219" s="143">
        <v>36600</v>
      </c>
      <c r="B219" s="152">
        <v>0.29699999999999999</v>
      </c>
      <c r="C219" s="152">
        <v>1</v>
      </c>
      <c r="D219" s="152">
        <v>1</v>
      </c>
      <c r="E219" s="152">
        <v>0.38200000000000001</v>
      </c>
      <c r="F219" s="143">
        <v>36600</v>
      </c>
      <c r="G219" s="146">
        <v>0.29699999999999999</v>
      </c>
      <c r="H219" s="151">
        <v>0.45800000000000002</v>
      </c>
    </row>
    <row r="220" spans="1:8">
      <c r="A220" s="143">
        <v>36700</v>
      </c>
      <c r="B220" s="152">
        <v>0.29699999999999999</v>
      </c>
      <c r="C220" s="152">
        <v>1</v>
      </c>
      <c r="D220" s="152">
        <v>1</v>
      </c>
      <c r="E220" s="152">
        <v>0.38</v>
      </c>
      <c r="F220" s="143">
        <v>36700</v>
      </c>
      <c r="G220" s="146">
        <v>0.29699999999999999</v>
      </c>
      <c r="H220" s="151">
        <v>0.45800000000000002</v>
      </c>
    </row>
    <row r="221" spans="1:8">
      <c r="A221" s="143">
        <v>36800</v>
      </c>
      <c r="B221" s="152">
        <v>0.29799999999999999</v>
      </c>
      <c r="C221" s="152">
        <v>1</v>
      </c>
      <c r="D221" s="152">
        <v>1</v>
      </c>
      <c r="E221" s="152">
        <v>0.377</v>
      </c>
      <c r="F221" s="143">
        <v>36800</v>
      </c>
      <c r="G221" s="146">
        <v>0.29799999999999999</v>
      </c>
      <c r="H221" s="151">
        <v>0.45800000000000002</v>
      </c>
    </row>
    <row r="222" spans="1:8">
      <c r="A222" s="143">
        <v>36900</v>
      </c>
      <c r="B222" s="152">
        <v>0.29899999999999999</v>
      </c>
      <c r="C222" s="152">
        <v>1</v>
      </c>
      <c r="D222" s="152">
        <v>1</v>
      </c>
      <c r="E222" s="152">
        <v>0.374</v>
      </c>
      <c r="F222" s="143">
        <v>36900</v>
      </c>
      <c r="G222" s="146">
        <v>0.29899999999999999</v>
      </c>
      <c r="H222" s="151">
        <v>0.45800000000000002</v>
      </c>
    </row>
    <row r="223" spans="1:8">
      <c r="A223" s="143">
        <v>37000</v>
      </c>
      <c r="B223" s="152">
        <v>0.29899999999999999</v>
      </c>
      <c r="C223" s="152">
        <v>1</v>
      </c>
      <c r="D223" s="152">
        <v>1</v>
      </c>
      <c r="E223" s="152">
        <v>0.371</v>
      </c>
      <c r="F223" s="143">
        <v>37000</v>
      </c>
      <c r="G223" s="146">
        <v>0.29899999999999999</v>
      </c>
      <c r="H223" s="151">
        <v>0.45800000000000002</v>
      </c>
    </row>
    <row r="224" spans="1:8">
      <c r="A224" s="143">
        <v>37100</v>
      </c>
      <c r="B224" s="152">
        <v>0.3</v>
      </c>
      <c r="C224" s="152">
        <v>1</v>
      </c>
      <c r="D224" s="152">
        <v>1</v>
      </c>
      <c r="E224" s="152">
        <v>0.36899999999999999</v>
      </c>
      <c r="F224" s="143">
        <v>37100</v>
      </c>
      <c r="G224" s="146">
        <v>0.3</v>
      </c>
      <c r="H224" s="151">
        <v>0.45800000000000002</v>
      </c>
    </row>
    <row r="225" spans="1:8">
      <c r="A225" s="143">
        <v>37200</v>
      </c>
      <c r="B225" s="152">
        <v>0.3</v>
      </c>
      <c r="C225" s="152">
        <v>1</v>
      </c>
      <c r="D225" s="152">
        <v>1</v>
      </c>
      <c r="E225" s="152">
        <v>0.36599999999999999</v>
      </c>
      <c r="F225" s="143">
        <v>37200</v>
      </c>
      <c r="G225" s="146">
        <v>0.3</v>
      </c>
      <c r="H225" s="151">
        <v>0.45800000000000002</v>
      </c>
    </row>
    <row r="226" spans="1:8">
      <c r="A226" s="143">
        <v>37300</v>
      </c>
      <c r="B226" s="152">
        <v>0.30099999999999999</v>
      </c>
      <c r="C226" s="152">
        <v>1</v>
      </c>
      <c r="D226" s="152">
        <v>1</v>
      </c>
      <c r="E226" s="152">
        <v>0.36299999999999999</v>
      </c>
      <c r="F226" s="143">
        <v>37300</v>
      </c>
      <c r="G226" s="146">
        <v>0.30099999999999999</v>
      </c>
      <c r="H226" s="151">
        <v>0.45800000000000002</v>
      </c>
    </row>
    <row r="227" spans="1:8">
      <c r="A227" s="143">
        <v>37400</v>
      </c>
      <c r="B227" s="152">
        <v>0.30099999999999999</v>
      </c>
      <c r="C227" s="152">
        <v>1</v>
      </c>
      <c r="D227" s="152">
        <v>1</v>
      </c>
      <c r="E227" s="152">
        <v>0.36</v>
      </c>
      <c r="F227" s="143">
        <v>37400</v>
      </c>
      <c r="G227" s="146">
        <v>0.30099999999999999</v>
      </c>
      <c r="H227" s="151">
        <v>0.45800000000000002</v>
      </c>
    </row>
    <row r="228" spans="1:8">
      <c r="A228" s="143">
        <v>37500</v>
      </c>
      <c r="B228" s="152">
        <v>0.30199999999999999</v>
      </c>
      <c r="C228" s="152">
        <v>1</v>
      </c>
      <c r="D228" s="152">
        <v>1</v>
      </c>
      <c r="E228" s="152">
        <v>0.35799999999999998</v>
      </c>
      <c r="F228" s="143">
        <v>37500</v>
      </c>
      <c r="G228" s="146">
        <v>0.30199999999999999</v>
      </c>
      <c r="H228" s="151">
        <v>0.45800000000000002</v>
      </c>
    </row>
    <row r="229" spans="1:8">
      <c r="F229" s="143">
        <v>37600</v>
      </c>
      <c r="G229" s="146">
        <v>0.30299999999999999</v>
      </c>
      <c r="H229" s="151">
        <v>0.45800000000000002</v>
      </c>
    </row>
    <row r="230" spans="1:8">
      <c r="F230" s="143">
        <v>37700</v>
      </c>
      <c r="G230" s="146">
        <v>0.30299999999999999</v>
      </c>
      <c r="H230" s="151">
        <v>0.45800000000000002</v>
      </c>
    </row>
    <row r="231" spans="1:8">
      <c r="F231" s="143">
        <v>37800</v>
      </c>
      <c r="G231" s="146">
        <v>0.30399999999999999</v>
      </c>
      <c r="H231" s="151">
        <v>0.45800000000000002</v>
      </c>
    </row>
    <row r="232" spans="1:8">
      <c r="F232" s="143">
        <v>37900</v>
      </c>
      <c r="G232" s="146">
        <v>0.30499999999999999</v>
      </c>
      <c r="H232" s="151">
        <v>0.45800000000000002</v>
      </c>
    </row>
    <row r="233" spans="1:8">
      <c r="F233" s="143">
        <v>38000</v>
      </c>
      <c r="G233" s="146">
        <v>0.30599999999999999</v>
      </c>
      <c r="H233" s="151">
        <v>0.45800000000000002</v>
      </c>
    </row>
    <row r="234" spans="1:8">
      <c r="F234" s="143">
        <v>38100</v>
      </c>
      <c r="G234" s="146">
        <v>0.30599999999999999</v>
      </c>
      <c r="H234" s="151">
        <v>0.45800000000000002</v>
      </c>
    </row>
    <row r="235" spans="1:8">
      <c r="F235" s="143">
        <v>38200</v>
      </c>
      <c r="G235" s="146">
        <v>0.307</v>
      </c>
      <c r="H235" s="151">
        <v>0.45800000000000002</v>
      </c>
    </row>
    <row r="236" spans="1:8">
      <c r="F236" s="143">
        <v>38300</v>
      </c>
      <c r="G236" s="146">
        <v>0.308</v>
      </c>
      <c r="H236" s="151">
        <v>0.45900000000000002</v>
      </c>
    </row>
    <row r="237" spans="1:8">
      <c r="F237" s="143">
        <v>38400</v>
      </c>
      <c r="G237" s="146">
        <v>0.308</v>
      </c>
      <c r="H237" s="151">
        <v>0.45900000000000002</v>
      </c>
    </row>
    <row r="238" spans="1:8">
      <c r="F238" s="143">
        <v>38500</v>
      </c>
      <c r="G238" s="146">
        <v>0.309</v>
      </c>
      <c r="H238" s="151">
        <v>0.45900000000000002</v>
      </c>
    </row>
    <row r="239" spans="1:8">
      <c r="F239" s="143">
        <v>38600</v>
      </c>
      <c r="G239" s="146">
        <v>0.31</v>
      </c>
      <c r="H239" s="151">
        <v>0.45900000000000002</v>
      </c>
    </row>
    <row r="240" spans="1:8">
      <c r="F240" s="143">
        <v>38700</v>
      </c>
      <c r="G240" s="146">
        <v>0.31</v>
      </c>
      <c r="H240" s="151">
        <v>0.45900000000000002</v>
      </c>
    </row>
    <row r="241" spans="6:8">
      <c r="F241" s="143">
        <v>38800</v>
      </c>
      <c r="G241" s="146">
        <v>0.311</v>
      </c>
      <c r="H241" s="151">
        <v>0.45900000000000002</v>
      </c>
    </row>
    <row r="242" spans="6:8">
      <c r="F242" s="143">
        <v>38900</v>
      </c>
      <c r="G242" s="146">
        <v>0.312</v>
      </c>
      <c r="H242" s="151">
        <v>0.45900000000000002</v>
      </c>
    </row>
    <row r="243" spans="6:8">
      <c r="F243" s="143">
        <v>39000</v>
      </c>
      <c r="G243" s="146">
        <v>0.312</v>
      </c>
      <c r="H243" s="151">
        <v>0.45900000000000002</v>
      </c>
    </row>
    <row r="244" spans="6:8">
      <c r="F244" s="143">
        <v>39100</v>
      </c>
      <c r="G244" s="146">
        <v>0.313</v>
      </c>
      <c r="H244" s="151">
        <v>0.45900000000000002</v>
      </c>
    </row>
    <row r="245" spans="6:8">
      <c r="F245" s="143">
        <v>39200</v>
      </c>
      <c r="G245" s="146">
        <v>0.314</v>
      </c>
      <c r="H245" s="151">
        <v>0.45900000000000002</v>
      </c>
    </row>
    <row r="246" spans="6:8">
      <c r="F246" s="143">
        <v>39300</v>
      </c>
      <c r="G246" s="146">
        <v>0.315</v>
      </c>
      <c r="H246" s="151">
        <v>0.45900000000000002</v>
      </c>
    </row>
    <row r="247" spans="6:8">
      <c r="F247" s="143">
        <v>39400</v>
      </c>
      <c r="G247" s="146">
        <v>0.315</v>
      </c>
      <c r="H247" s="151">
        <v>0.45900000000000002</v>
      </c>
    </row>
    <row r="248" spans="6:8">
      <c r="F248" s="143">
        <v>39500</v>
      </c>
      <c r="G248" s="146">
        <v>0.316</v>
      </c>
      <c r="H248" s="151">
        <v>0.45900000000000002</v>
      </c>
    </row>
    <row r="249" spans="6:8">
      <c r="F249" s="143">
        <v>39600</v>
      </c>
      <c r="G249" s="146">
        <v>0.317</v>
      </c>
      <c r="H249" s="151">
        <v>0.46</v>
      </c>
    </row>
    <row r="250" spans="6:8">
      <c r="F250" s="143">
        <v>39700</v>
      </c>
      <c r="G250" s="146">
        <v>0.317</v>
      </c>
      <c r="H250" s="151">
        <v>0.46</v>
      </c>
    </row>
    <row r="251" spans="6:8">
      <c r="F251" s="143">
        <v>39800</v>
      </c>
      <c r="G251" s="146">
        <v>0.318</v>
      </c>
      <c r="H251" s="151">
        <v>0.46</v>
      </c>
    </row>
    <row r="252" spans="6:8">
      <c r="F252" s="143">
        <v>39900</v>
      </c>
      <c r="G252" s="146">
        <v>0.31900000000000001</v>
      </c>
      <c r="H252" s="151">
        <v>0.46</v>
      </c>
    </row>
    <row r="253" spans="6:8">
      <c r="F253" s="143">
        <v>40000</v>
      </c>
      <c r="G253" s="146">
        <v>0.31900000000000001</v>
      </c>
      <c r="H253" s="151">
        <v>0.46</v>
      </c>
    </row>
    <row r="254" spans="6:8">
      <c r="F254" s="143">
        <v>40100</v>
      </c>
      <c r="G254" s="146">
        <v>0.32</v>
      </c>
      <c r="H254" s="151">
        <v>0.46</v>
      </c>
    </row>
    <row r="255" spans="6:8">
      <c r="F255" s="143">
        <v>40200</v>
      </c>
      <c r="G255" s="146">
        <v>0.32100000000000001</v>
      </c>
      <c r="H255" s="151">
        <v>0.46</v>
      </c>
    </row>
    <row r="256" spans="6:8">
      <c r="F256" s="143">
        <v>40300</v>
      </c>
      <c r="G256" s="146">
        <v>0.32100000000000001</v>
      </c>
      <c r="H256" s="151">
        <v>0.46</v>
      </c>
    </row>
    <row r="257" spans="6:8">
      <c r="F257" s="143">
        <v>40400</v>
      </c>
      <c r="G257" s="146">
        <v>0.32200000000000001</v>
      </c>
      <c r="H257" s="151">
        <v>0.46</v>
      </c>
    </row>
    <row r="258" spans="6:8">
      <c r="F258" s="143">
        <v>40500</v>
      </c>
      <c r="G258" s="146">
        <v>0.32300000000000001</v>
      </c>
      <c r="H258" s="151">
        <v>0.46</v>
      </c>
    </row>
    <row r="259" spans="6:8">
      <c r="F259" s="143">
        <v>40600</v>
      </c>
      <c r="G259" s="146">
        <v>0.32300000000000001</v>
      </c>
      <c r="H259" s="151">
        <v>0.46</v>
      </c>
    </row>
    <row r="260" spans="6:8">
      <c r="F260" s="143">
        <v>40700</v>
      </c>
      <c r="G260" s="146">
        <v>0.32400000000000001</v>
      </c>
      <c r="H260" s="151">
        <v>0.46</v>
      </c>
    </row>
    <row r="261" spans="6:8">
      <c r="F261" s="143">
        <v>40800</v>
      </c>
      <c r="G261" s="146">
        <v>0.32500000000000001</v>
      </c>
      <c r="H261" s="151">
        <v>0.46</v>
      </c>
    </row>
    <row r="262" spans="6:8">
      <c r="F262" s="143">
        <v>40900</v>
      </c>
      <c r="G262" s="146">
        <v>0.32500000000000001</v>
      </c>
      <c r="H262" s="151">
        <v>0.46</v>
      </c>
    </row>
    <row r="263" spans="6:8">
      <c r="F263" s="143">
        <v>41000</v>
      </c>
      <c r="G263" s="146">
        <v>0.32600000000000001</v>
      </c>
      <c r="H263" s="151">
        <v>0.46100000000000002</v>
      </c>
    </row>
    <row r="264" spans="6:8">
      <c r="F264" s="143">
        <v>41100</v>
      </c>
      <c r="G264" s="146">
        <v>0.32700000000000001</v>
      </c>
      <c r="H264" s="151">
        <v>0.46100000000000002</v>
      </c>
    </row>
    <row r="265" spans="6:8">
      <c r="F265" s="143">
        <v>41200</v>
      </c>
      <c r="G265" s="146">
        <v>0.32700000000000001</v>
      </c>
      <c r="H265" s="151">
        <v>0.46100000000000002</v>
      </c>
    </row>
    <row r="266" spans="6:8">
      <c r="F266" s="143">
        <v>41300</v>
      </c>
      <c r="G266" s="146">
        <v>0.32800000000000001</v>
      </c>
      <c r="H266" s="151">
        <v>0.46100000000000002</v>
      </c>
    </row>
    <row r="267" spans="6:8">
      <c r="F267" s="143">
        <v>41400</v>
      </c>
      <c r="G267" s="146">
        <v>0.32800000000000001</v>
      </c>
      <c r="H267" s="151">
        <v>0.46100000000000002</v>
      </c>
    </row>
    <row r="268" spans="6:8">
      <c r="F268" s="143">
        <v>41500</v>
      </c>
      <c r="G268" s="146">
        <v>0.32900000000000001</v>
      </c>
      <c r="H268" s="151">
        <v>0.46100000000000002</v>
      </c>
    </row>
    <row r="269" spans="6:8">
      <c r="F269" s="143">
        <v>41600</v>
      </c>
      <c r="G269" s="146">
        <v>0.33</v>
      </c>
      <c r="H269" s="151">
        <v>0.46100000000000002</v>
      </c>
    </row>
    <row r="270" spans="6:8">
      <c r="F270" s="143">
        <v>41700</v>
      </c>
      <c r="G270" s="146">
        <v>0.33</v>
      </c>
      <c r="H270" s="151">
        <v>0.46100000000000002</v>
      </c>
    </row>
    <row r="271" spans="6:8">
      <c r="F271" s="143">
        <v>41800</v>
      </c>
      <c r="G271" s="146">
        <v>0.33100000000000002</v>
      </c>
      <c r="H271" s="151">
        <v>0.46100000000000002</v>
      </c>
    </row>
    <row r="272" spans="6:8">
      <c r="F272" s="143">
        <v>41900</v>
      </c>
      <c r="G272" s="146">
        <v>0.33200000000000002</v>
      </c>
      <c r="H272" s="151">
        <v>0.46100000000000002</v>
      </c>
    </row>
    <row r="273" spans="6:8">
      <c r="F273" s="143">
        <v>42000</v>
      </c>
      <c r="G273" s="146">
        <v>0.33200000000000002</v>
      </c>
      <c r="H273" s="151">
        <v>0.46</v>
      </c>
    </row>
    <row r="274" spans="6:8">
      <c r="F274" s="143">
        <v>42100</v>
      </c>
      <c r="G274" s="146">
        <v>0.33300000000000002</v>
      </c>
      <c r="H274" s="151">
        <v>0.45800000000000002</v>
      </c>
    </row>
    <row r="275" spans="6:8">
      <c r="F275" s="143">
        <v>42200</v>
      </c>
      <c r="G275" s="146">
        <v>0.33300000000000002</v>
      </c>
      <c r="H275" s="151">
        <v>0.45500000000000002</v>
      </c>
    </row>
    <row r="276" spans="6:8">
      <c r="F276" s="143">
        <v>42300</v>
      </c>
      <c r="G276" s="146">
        <v>0.33400000000000002</v>
      </c>
      <c r="H276" s="151">
        <v>0.45200000000000001</v>
      </c>
    </row>
  </sheetData>
  <sortState ref="F3:H276">
    <sortCondition ref="F3:F276"/>
  </sortState>
  <mergeCells count="2">
    <mergeCell ref="A1:E1"/>
    <mergeCell ref="F1:H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4"/>
  <dimension ref="A2:Q89"/>
  <sheetViews>
    <sheetView workbookViewId="0">
      <selection activeCell="K91" sqref="K91"/>
    </sheetView>
  </sheetViews>
  <sheetFormatPr defaultRowHeight="15"/>
  <cols>
    <col min="1" max="1" width="16.7109375" style="13" customWidth="1"/>
    <col min="6" max="6" width="10" bestFit="1" customWidth="1"/>
  </cols>
  <sheetData>
    <row r="2" spans="1:15" ht="15.75" thickBot="1"/>
    <row r="3" spans="1:15">
      <c r="B3" s="13"/>
      <c r="C3" s="13"/>
      <c r="D3" s="526" t="s">
        <v>624</v>
      </c>
      <c r="E3" s="527"/>
      <c r="F3" s="528"/>
      <c r="G3" s="526" t="s">
        <v>623</v>
      </c>
      <c r="H3" s="527"/>
      <c r="I3" s="528"/>
      <c r="J3" s="526" t="s">
        <v>625</v>
      </c>
      <c r="K3" s="527"/>
      <c r="L3" s="528"/>
      <c r="M3" s="526" t="s">
        <v>626</v>
      </c>
      <c r="N3" s="527"/>
      <c r="O3" s="528"/>
    </row>
    <row r="4" spans="1:15" ht="15" customHeight="1" thickBot="1">
      <c r="B4" s="13"/>
      <c r="C4" s="13"/>
      <c r="D4" s="379" t="s">
        <v>637</v>
      </c>
      <c r="E4" s="374" t="s">
        <v>638</v>
      </c>
      <c r="F4" s="380" t="s">
        <v>175</v>
      </c>
      <c r="G4" s="379" t="s">
        <v>637</v>
      </c>
      <c r="H4" s="374" t="s">
        <v>638</v>
      </c>
      <c r="I4" s="380" t="s">
        <v>175</v>
      </c>
      <c r="J4" s="379" t="s">
        <v>637</v>
      </c>
      <c r="K4" s="374" t="s">
        <v>638</v>
      </c>
      <c r="L4" s="380" t="s">
        <v>175</v>
      </c>
      <c r="M4" s="379" t="s">
        <v>637</v>
      </c>
      <c r="N4" s="374" t="s">
        <v>638</v>
      </c>
      <c r="O4" s="380" t="s">
        <v>175</v>
      </c>
    </row>
    <row r="5" spans="1:15" ht="15" customHeight="1">
      <c r="A5" s="97" t="s">
        <v>627</v>
      </c>
      <c r="B5" s="390">
        <f>'Form F'!K54-'Form F'!K52-'Form F'!K53</f>
        <v>27069</v>
      </c>
      <c r="C5" s="13"/>
      <c r="D5" s="84"/>
      <c r="E5" s="375"/>
      <c r="F5" s="381" t="str">
        <f>CONCATENATE("=",B9)</f>
        <v>=0.348215106252194</v>
      </c>
      <c r="G5" s="339"/>
      <c r="H5" s="15"/>
      <c r="I5" s="381" t="str">
        <f>CONCATENATE("=",B17)</f>
        <v>=0.367054989330368</v>
      </c>
      <c r="J5" s="84"/>
      <c r="K5" s="15"/>
      <c r="L5" s="381" t="str">
        <f>CONCATENATE("=",B25)</f>
        <v>=0.348215106252194</v>
      </c>
      <c r="M5" s="339"/>
      <c r="N5" s="375"/>
      <c r="O5" s="381" t="str">
        <f>CONCATENATE("=",B33)</f>
        <v>=0.367054989330368</v>
      </c>
    </row>
    <row r="6" spans="1:15" ht="15" customHeight="1" thickBot="1">
      <c r="A6" s="100" t="s">
        <v>628</v>
      </c>
      <c r="B6" s="391">
        <f>'Form F'!L54-'Form F'!L53-'Form F'!L52</f>
        <v>87424.952250000002</v>
      </c>
      <c r="C6" s="13"/>
      <c r="D6" s="379" t="s">
        <v>637</v>
      </c>
      <c r="E6" s="374" t="s">
        <v>638</v>
      </c>
      <c r="F6" s="380" t="s">
        <v>175</v>
      </c>
      <c r="G6" s="379" t="s">
        <v>637</v>
      </c>
      <c r="H6" s="374" t="s">
        <v>638</v>
      </c>
      <c r="I6" s="380" t="s">
        <v>175</v>
      </c>
      <c r="J6" s="379" t="s">
        <v>637</v>
      </c>
      <c r="K6" s="374" t="s">
        <v>638</v>
      </c>
      <c r="L6" s="380" t="s">
        <v>175</v>
      </c>
      <c r="M6" s="379" t="s">
        <v>637</v>
      </c>
      <c r="N6" s="374" t="s">
        <v>638</v>
      </c>
      <c r="O6" s="380" t="s">
        <v>175</v>
      </c>
    </row>
    <row r="7" spans="1:15" ht="15" customHeight="1" thickBot="1">
      <c r="B7" s="13"/>
      <c r="C7" s="13"/>
      <c r="D7" s="84"/>
      <c r="E7" s="375"/>
      <c r="F7" s="381" t="str">
        <f>CONCATENATE("=",B13)</f>
        <v>=0.36775923646378</v>
      </c>
      <c r="G7" s="339"/>
      <c r="H7" s="15"/>
      <c r="I7" s="381" t="str">
        <f>CONCATENATE("=",B21)</f>
        <v>=0.39089968536859</v>
      </c>
      <c r="J7" s="84"/>
      <c r="K7" s="15"/>
      <c r="L7" s="381" t="str">
        <f>CONCATENATE("=",B29)</f>
        <v>=0.36775923646378</v>
      </c>
      <c r="M7" s="339"/>
      <c r="N7" s="376"/>
      <c r="O7" s="381" t="str">
        <f>CONCATENATE("=",B37)</f>
        <v>=0.388056645242528</v>
      </c>
    </row>
    <row r="8" spans="1:15" ht="15" customHeight="1" thickBot="1">
      <c r="A8" s="529" t="s">
        <v>629</v>
      </c>
      <c r="B8" s="530"/>
      <c r="C8" s="13"/>
      <c r="D8" s="379" t="s">
        <v>637</v>
      </c>
      <c r="E8" s="374" t="s">
        <v>638</v>
      </c>
      <c r="F8" s="380" t="s">
        <v>175</v>
      </c>
      <c r="G8" s="379" t="s">
        <v>637</v>
      </c>
      <c r="H8" s="374" t="s">
        <v>638</v>
      </c>
      <c r="I8" s="380" t="s">
        <v>175</v>
      </c>
      <c r="J8" s="379" t="s">
        <v>637</v>
      </c>
      <c r="K8" s="374" t="s">
        <v>638</v>
      </c>
      <c r="L8" s="380" t="s">
        <v>175</v>
      </c>
      <c r="M8" s="379" t="s">
        <v>637</v>
      </c>
      <c r="N8" s="374" t="s">
        <v>638</v>
      </c>
      <c r="O8" s="380" t="s">
        <v>175</v>
      </c>
    </row>
    <row r="9" spans="1:15" ht="15" customHeight="1">
      <c r="A9" s="392" t="s">
        <v>175</v>
      </c>
      <c r="B9" s="389">
        <f>MIN(F9:F86)</f>
        <v>0.34821510625219382</v>
      </c>
      <c r="C9" s="13"/>
      <c r="D9" s="84">
        <v>7162</v>
      </c>
      <c r="E9" s="377">
        <v>22609</v>
      </c>
      <c r="F9" s="382">
        <f>Percent_MAC($B$6+E9,$B$5+D9,Constants!$A$3,Constants!$B$3)</f>
        <v>0.35582548518743595</v>
      </c>
      <c r="G9" s="84">
        <v>6052</v>
      </c>
      <c r="H9" s="377">
        <v>20619</v>
      </c>
      <c r="I9" s="382">
        <f>Percent_MAC($B$6+H9,$B$5+G9,Constants!$A$3,Constants!$B$3)</f>
        <v>0.39089968536858954</v>
      </c>
      <c r="J9" s="84">
        <v>7162</v>
      </c>
      <c r="K9" s="377">
        <v>22609</v>
      </c>
      <c r="L9" s="382">
        <f>Percent_MAC($B$6+K9,$B$5+J9,Constants!$A$3,Constants!$B$3)</f>
        <v>0.35582548518743595</v>
      </c>
      <c r="M9" s="84">
        <v>5920</v>
      </c>
      <c r="N9" s="377">
        <v>20061</v>
      </c>
      <c r="O9" s="382">
        <f>Percent_MAC($B$6+N9,$B$5+M9,Constants!$A$3,Constants!$B$3)</f>
        <v>0.38805664524252831</v>
      </c>
    </row>
    <row r="10" spans="1:15" ht="15" customHeight="1">
      <c r="A10" s="393" t="s">
        <v>191</v>
      </c>
      <c r="B10" s="375">
        <f>DGET($D$8:$F$86,"Fuel_Weight",$D$4:$F$5)</f>
        <v>5966</v>
      </c>
      <c r="C10" s="13"/>
      <c r="D10" s="84">
        <v>7100</v>
      </c>
      <c r="E10" s="377">
        <v>22392</v>
      </c>
      <c r="F10" s="382">
        <f>Percent_MAC($B$6+E10,$B$5+D10,Constants!$A$3,Constants!$B$3)</f>
        <v>0.35544406046940291</v>
      </c>
      <c r="G10" s="84">
        <v>6000</v>
      </c>
      <c r="H10" s="377">
        <v>20437</v>
      </c>
      <c r="I10" s="382">
        <f>Percent_MAC($B$6+H10,$B$5+G10,Constants!$A$3,Constants!$B$3)</f>
        <v>0.39062429264598292</v>
      </c>
      <c r="J10" s="84">
        <v>7100</v>
      </c>
      <c r="K10" s="377">
        <v>22392</v>
      </c>
      <c r="L10" s="382">
        <f>Percent_MAC($B$6+K10,$B$5+J10,Constants!$A$3,Constants!$B$3)</f>
        <v>0.35544406046940291</v>
      </c>
      <c r="M10" s="84">
        <v>5800</v>
      </c>
      <c r="N10" s="377">
        <v>19641</v>
      </c>
      <c r="O10" s="382">
        <f>Percent_MAC($B$6+N10,$B$5+M10,Constants!$A$3,Constants!$B$3)</f>
        <v>0.38740687704637272</v>
      </c>
    </row>
    <row r="11" spans="1:15" ht="15.75" thickBot="1">
      <c r="A11" s="394" t="s">
        <v>639</v>
      </c>
      <c r="B11" s="197">
        <f>DGET($D$8:$F$86,"Fuel_Mom",$D$4:$F$5)</f>
        <v>18423</v>
      </c>
      <c r="D11" s="84">
        <v>7000</v>
      </c>
      <c r="E11" s="377">
        <v>22042</v>
      </c>
      <c r="F11" s="382">
        <f>Percent_MAC($B$6+E11,$B$5+D11,Constants!$A$3,Constants!$B$3)</f>
        <v>0.35482593399537909</v>
      </c>
      <c r="G11" s="84">
        <v>5900</v>
      </c>
      <c r="H11" s="377">
        <v>20087</v>
      </c>
      <c r="I11" s="382">
        <f>Percent_MAC($B$6+H11,$B$5+G11,Constants!$A$3,Constants!$B$3)</f>
        <v>0.39009224958656774</v>
      </c>
      <c r="J11" s="84">
        <v>7000</v>
      </c>
      <c r="K11" s="377">
        <v>22042</v>
      </c>
      <c r="L11" s="382">
        <f>Percent_MAC($B$6+K11,$B$5+J11,Constants!$A$3,Constants!$B$3)</f>
        <v>0.35482593399537909</v>
      </c>
      <c r="M11" s="84">
        <v>5700</v>
      </c>
      <c r="N11" s="377">
        <v>19291</v>
      </c>
      <c r="O11" s="382">
        <f>Percent_MAC($B$6+N11,$B$5+M11,Constants!$A$3,Constants!$B$3)</f>
        <v>0.38686176827937269</v>
      </c>
    </row>
    <row r="12" spans="1:15" ht="15.75" thickBot="1">
      <c r="A12" s="529" t="s">
        <v>630</v>
      </c>
      <c r="B12" s="530"/>
      <c r="D12" s="84">
        <v>6900</v>
      </c>
      <c r="E12" s="377">
        <v>21692</v>
      </c>
      <c r="F12" s="382">
        <f>Percent_MAC($B$6+E12,$B$5+D12,Constants!$A$3,Constants!$B$3)</f>
        <v>0.35420416816503597</v>
      </c>
      <c r="G12" s="84">
        <v>5800</v>
      </c>
      <c r="H12" s="377">
        <v>19737</v>
      </c>
      <c r="I12" s="382">
        <f>Percent_MAC($B$6+H12,$B$5+G12,Constants!$A$3,Constants!$B$3)</f>
        <v>0.38955696917244476</v>
      </c>
      <c r="J12" s="84">
        <v>6900</v>
      </c>
      <c r="K12" s="377">
        <v>21692</v>
      </c>
      <c r="L12" s="382">
        <f>Percent_MAC($B$6+K12,$B$5+J12,Constants!$A$3,Constants!$B$3)</f>
        <v>0.35420416816503597</v>
      </c>
      <c r="M12" s="84">
        <v>5600</v>
      </c>
      <c r="N12" s="377">
        <v>18941</v>
      </c>
      <c r="O12" s="382">
        <f>Percent_MAC($B$6+N12,$B$5+M12,Constants!$A$3,Constants!$B$3)</f>
        <v>0.386313322350127</v>
      </c>
    </row>
    <row r="13" spans="1:15">
      <c r="A13" s="392" t="s">
        <v>175</v>
      </c>
      <c r="B13" s="389">
        <f>MAX(F9:F86)</f>
        <v>0.36775923646378011</v>
      </c>
      <c r="D13" s="84">
        <v>6800</v>
      </c>
      <c r="E13" s="377">
        <v>21342</v>
      </c>
      <c r="F13" s="382">
        <f>Percent_MAC($B$6+E13,$B$5+D13,Constants!$A$3,Constants!$B$3)</f>
        <v>0.35357873074220247</v>
      </c>
      <c r="G13" s="84">
        <v>5700</v>
      </c>
      <c r="H13" s="377">
        <v>19387</v>
      </c>
      <c r="I13" s="382">
        <f>Percent_MAC($B$6+H13,$B$5+G13,Constants!$A$3,Constants!$B$3)</f>
        <v>0.3890184217656516</v>
      </c>
      <c r="J13" s="84">
        <v>6800</v>
      </c>
      <c r="K13" s="377">
        <v>21342</v>
      </c>
      <c r="L13" s="382">
        <f>Percent_MAC($B$6+K13,$B$5+J13,Constants!$A$3,Constants!$B$3)</f>
        <v>0.35357873074220247</v>
      </c>
      <c r="M13" s="84">
        <v>5500</v>
      </c>
      <c r="N13" s="377">
        <v>18591</v>
      </c>
      <c r="O13" s="382">
        <f>Percent_MAC($B$6+N13,$B$5+M13,Constants!$A$3,Constants!$B$3)</f>
        <v>0.38576150851932328</v>
      </c>
    </row>
    <row r="14" spans="1:15">
      <c r="A14" s="393" t="s">
        <v>191</v>
      </c>
      <c r="B14" s="375">
        <f>DGET($D$8:$F$86,"Fuel_Weight",D6:F7)</f>
        <v>1934</v>
      </c>
      <c r="C14" s="13"/>
      <c r="D14" s="84">
        <v>6700</v>
      </c>
      <c r="E14" s="377">
        <v>20992</v>
      </c>
      <c r="F14" s="382">
        <f>Percent_MAC($B$6+E14,$B$5+D14,Constants!$A$3,Constants!$B$3)</f>
        <v>0.35294958910886282</v>
      </c>
      <c r="G14" s="84">
        <v>5600</v>
      </c>
      <c r="H14" s="377">
        <v>19037</v>
      </c>
      <c r="I14" s="382">
        <f>Percent_MAC($B$6+H14,$B$5+G14,Constants!$A$3,Constants!$B$3)</f>
        <v>0.38847657736533614</v>
      </c>
      <c r="J14" s="84">
        <v>6700</v>
      </c>
      <c r="K14" s="377">
        <v>20992</v>
      </c>
      <c r="L14" s="382">
        <f>Percent_MAC($B$6+K14,$B$5+J14,Constants!$A$3,Constants!$B$3)</f>
        <v>0.35294958910886282</v>
      </c>
      <c r="M14" s="84">
        <v>5400</v>
      </c>
      <c r="N14" s="377">
        <v>18241</v>
      </c>
      <c r="O14" s="382">
        <f>Percent_MAC($B$6+N14,$B$5+M14,Constants!$A$3,Constants!$B$3)</f>
        <v>0.38520629566895759</v>
      </c>
    </row>
    <row r="15" spans="1:15" ht="15.75" thickBot="1">
      <c r="A15" s="394" t="s">
        <v>639</v>
      </c>
      <c r="B15" s="197">
        <f>DGET($D$8:$F$86,"Fuel_Mom",D6:F7)</f>
        <v>6274</v>
      </c>
      <c r="D15" s="84">
        <v>6600</v>
      </c>
      <c r="E15" s="377">
        <v>20642</v>
      </c>
      <c r="F15" s="382">
        <f>Percent_MAC($B$6+E15,$B$5+D15,Constants!$A$3,Constants!$B$3)</f>
        <v>0.35231671025948919</v>
      </c>
      <c r="G15" s="84">
        <v>5500</v>
      </c>
      <c r="H15" s="377">
        <v>18687</v>
      </c>
      <c r="I15" s="382">
        <f>Percent_MAC($B$6+H15,$B$5+G15,Constants!$A$3,Constants!$B$3)</f>
        <v>0.38793140560218958</v>
      </c>
      <c r="J15" s="84">
        <v>6600</v>
      </c>
      <c r="K15" s="377">
        <v>20642</v>
      </c>
      <c r="L15" s="382">
        <f>Percent_MAC($B$6+K15,$B$5+J15,Constants!$A$3,Constants!$B$3)</f>
        <v>0.35231671025948919</v>
      </c>
      <c r="M15" s="84">
        <v>5300</v>
      </c>
      <c r="N15" s="377">
        <v>17891</v>
      </c>
      <c r="O15" s="382">
        <f>Percent_MAC($B$6+N15,$B$5+M15,Constants!$A$3,Constants!$B$3)</f>
        <v>0.3846476522964849</v>
      </c>
    </row>
    <row r="16" spans="1:15" ht="15.75" thickBot="1">
      <c r="A16" s="529" t="s">
        <v>631</v>
      </c>
      <c r="B16" s="530"/>
      <c r="D16" s="84">
        <v>6500</v>
      </c>
      <c r="E16" s="377">
        <v>20292</v>
      </c>
      <c r="F16" s="382">
        <f>Percent_MAC($B$6+E16,$B$5+D16,Constants!$A$3,Constants!$B$3)</f>
        <v>0.35168006079526559</v>
      </c>
      <c r="G16" s="84">
        <v>5400</v>
      </c>
      <c r="H16" s="377">
        <v>18337</v>
      </c>
      <c r="I16" s="382">
        <f>Percent_MAC($B$6+H16,$B$5+G16,Constants!$A$3,Constants!$B$3)</f>
        <v>0.38738287573276814</v>
      </c>
      <c r="J16" s="84">
        <v>6500</v>
      </c>
      <c r="K16" s="377">
        <v>20292</v>
      </c>
      <c r="L16" s="382">
        <f>Percent_MAC($B$6+K16,$B$5+J16,Constants!$A$3,Constants!$B$3)</f>
        <v>0.35168006079526559</v>
      </c>
      <c r="M16" s="84">
        <v>5200</v>
      </c>
      <c r="N16" s="377">
        <v>17541</v>
      </c>
      <c r="O16" s="382">
        <f>Percent_MAC($B$6+N16,$B$5+M16,Constants!$A$3,Constants!$B$3)</f>
        <v>0.38408554650886195</v>
      </c>
    </row>
    <row r="17" spans="1:15">
      <c r="A17" s="392" t="s">
        <v>175</v>
      </c>
      <c r="B17" s="389">
        <f>MIN(I9:I72)</f>
        <v>0.36705498933036834</v>
      </c>
      <c r="D17" s="84">
        <v>6400</v>
      </c>
      <c r="E17" s="377">
        <v>19942</v>
      </c>
      <c r="F17" s="382">
        <f>Percent_MAC($B$6+E17,$B$5+D17,Constants!$A$3,Constants!$B$3)</f>
        <v>0.3510396069182174</v>
      </c>
      <c r="G17" s="84">
        <v>5300</v>
      </c>
      <c r="H17" s="377">
        <v>17987</v>
      </c>
      <c r="I17" s="382">
        <f>Percent_MAC($B$6+H17,$B$5+G17,Constants!$A$3,Constants!$B$3)</f>
        <v>0.38683095663371742</v>
      </c>
      <c r="J17" s="84">
        <v>6400</v>
      </c>
      <c r="K17" s="377">
        <v>19942</v>
      </c>
      <c r="L17" s="382">
        <f>Percent_MAC($B$6+K17,$B$5+J17,Constants!$A$3,Constants!$B$3)</f>
        <v>0.3510396069182174</v>
      </c>
      <c r="M17" s="84">
        <v>5100</v>
      </c>
      <c r="N17" s="377">
        <v>17191</v>
      </c>
      <c r="O17" s="382">
        <f>Percent_MAC($B$6+N17,$B$5+M17,Constants!$A$3,Constants!$B$3)</f>
        <v>0.38351994601647549</v>
      </c>
    </row>
    <row r="18" spans="1:15">
      <c r="A18" s="393" t="s">
        <v>191</v>
      </c>
      <c r="B18" s="375">
        <f>DGET($G$8:$I$72,"Fuel_Weight",G4:I5)</f>
        <v>0</v>
      </c>
      <c r="C18" s="13"/>
      <c r="D18" s="84">
        <v>6300</v>
      </c>
      <c r="E18" s="377">
        <v>19592</v>
      </c>
      <c r="F18" s="382">
        <f>Percent_MAC($B$6+E18,$B$5+D18,Constants!$A$3,Constants!$B$3)</f>
        <v>0.35039531442522559</v>
      </c>
      <c r="G18" s="84">
        <v>5200</v>
      </c>
      <c r="H18" s="377">
        <v>17637</v>
      </c>
      <c r="I18" s="382">
        <f>Percent_MAC($B$6+H18,$B$5+G18,Constants!$A$3,Constants!$B$3)</f>
        <v>0.38627561679588251</v>
      </c>
      <c r="J18" s="84">
        <v>6300</v>
      </c>
      <c r="K18" s="377">
        <v>19592</v>
      </c>
      <c r="L18" s="382">
        <f>Percent_MAC($B$6+K18,$B$5+J18,Constants!$A$3,Constants!$B$3)</f>
        <v>0.35039531442522559</v>
      </c>
      <c r="M18" s="84">
        <v>5000</v>
      </c>
      <c r="N18" s="377">
        <v>16841</v>
      </c>
      <c r="O18" s="382">
        <f>Percent_MAC($B$6+N18,$B$5+M18,Constants!$A$3,Constants!$B$3)</f>
        <v>0.38295081812696208</v>
      </c>
    </row>
    <row r="19" spans="1:15" ht="15.75" thickBot="1">
      <c r="A19" s="394" t="s">
        <v>639</v>
      </c>
      <c r="B19" s="197">
        <f>DGET($G$8:$I$72,"Fuel_Weight",G4:I5)</f>
        <v>0</v>
      </c>
      <c r="D19" s="84">
        <v>6200</v>
      </c>
      <c r="E19" s="377">
        <v>19242</v>
      </c>
      <c r="F19" s="382">
        <f>Percent_MAC($B$6+E19,$B$5+D19,Constants!$A$3,Constants!$B$3)</f>
        <v>0.34974714870194179</v>
      </c>
      <c r="G19" s="84">
        <v>5100</v>
      </c>
      <c r="H19" s="377">
        <v>17287</v>
      </c>
      <c r="I19" s="382">
        <f>Percent_MAC($B$6+H19,$B$5+G19,Constants!$A$3,Constants!$B$3)</f>
        <v>0.38571682431831494</v>
      </c>
      <c r="J19" s="84">
        <v>6200</v>
      </c>
      <c r="K19" s="377">
        <v>19242</v>
      </c>
      <c r="L19" s="382">
        <f>Percent_MAC($B$6+K19,$B$5+J19,Constants!$A$3,Constants!$B$3)</f>
        <v>0.34974714870194179</v>
      </c>
      <c r="M19" s="84">
        <v>4900</v>
      </c>
      <c r="N19" s="377">
        <v>16491</v>
      </c>
      <c r="O19" s="382">
        <f>Percent_MAC($B$6+N19,$B$5+M19,Constants!$A$3,Constants!$B$3)</f>
        <v>0.38237812973890589</v>
      </c>
    </row>
    <row r="20" spans="1:15" ht="15.75" thickBot="1">
      <c r="A20" s="529" t="s">
        <v>632</v>
      </c>
      <c r="B20" s="530"/>
      <c r="D20" s="84">
        <v>6100</v>
      </c>
      <c r="E20" s="377">
        <v>18892</v>
      </c>
      <c r="F20" s="382">
        <f>Percent_MAC($B$6+E20,$B$5+D20,Constants!$A$3,Constants!$B$3)</f>
        <v>0.3490950747165858</v>
      </c>
      <c r="G20" s="84">
        <v>5000</v>
      </c>
      <c r="H20" s="377">
        <v>16937</v>
      </c>
      <c r="I20" s="382">
        <f>Percent_MAC($B$6+H20,$B$5+G20,Constants!$A$3,Constants!$B$3)</f>
        <v>0.38515454690216144</v>
      </c>
      <c r="J20" s="84">
        <v>6100</v>
      </c>
      <c r="K20" s="377">
        <v>18892</v>
      </c>
      <c r="L20" s="382">
        <f>Percent_MAC($B$6+K20,$B$5+J20,Constants!$A$3,Constants!$B$3)</f>
        <v>0.3490950747165858</v>
      </c>
      <c r="M20" s="84">
        <v>4800</v>
      </c>
      <c r="N20" s="377">
        <v>16141</v>
      </c>
      <c r="O20" s="382">
        <f>Percent_MAC($B$6+N20,$B$5+M20,Constants!$A$3,Constants!$B$3)</f>
        <v>0.38180184733542399</v>
      </c>
    </row>
    <row r="21" spans="1:15">
      <c r="A21" s="392" t="s">
        <v>175</v>
      </c>
      <c r="B21" s="389">
        <f>MAX(I9:I71)</f>
        <v>0.39089968536858954</v>
      </c>
      <c r="C21" s="13"/>
      <c r="D21" s="84">
        <v>6000</v>
      </c>
      <c r="E21" s="377">
        <v>18542</v>
      </c>
      <c r="F21" s="382">
        <f>Percent_MAC($B$6+E21,$B$5+D21,Constants!$A$3,Constants!$B$3)</f>
        <v>0.34843905701363759</v>
      </c>
      <c r="G21" s="84">
        <v>4900</v>
      </c>
      <c r="H21" s="377">
        <v>16587</v>
      </c>
      <c r="I21" s="382">
        <f>Percent_MAC($B$6+H21,$B$5+G21,Constants!$A$3,Constants!$B$3)</f>
        <v>0.38458875184444163</v>
      </c>
      <c r="J21" s="84">
        <v>6000</v>
      </c>
      <c r="K21" s="377">
        <v>18542</v>
      </c>
      <c r="L21" s="382">
        <f>Percent_MAC($B$6+K21,$B$5+J21,Constants!$A$3,Constants!$B$3)</f>
        <v>0.34843905701363759</v>
      </c>
      <c r="M21" s="84">
        <v>4724</v>
      </c>
      <c r="N21" s="377">
        <v>15875</v>
      </c>
      <c r="O21" s="382">
        <f>Percent_MAC($B$6+N21,$B$5+M21,Constants!$A$3,Constants!$B$3)</f>
        <v>0.38136144816456052</v>
      </c>
    </row>
    <row r="22" spans="1:15">
      <c r="A22" s="393" t="s">
        <v>191</v>
      </c>
      <c r="B22" s="375">
        <f>DGET($G$8:$I$72,"Fuel_Weight",G6:I7)</f>
        <v>6052</v>
      </c>
      <c r="D22" s="84">
        <v>5966</v>
      </c>
      <c r="E22" s="377">
        <v>18423</v>
      </c>
      <c r="F22" s="382">
        <f>Percent_MAC($B$6+E22,$B$5+D22,Constants!$A$3,Constants!$B$3)</f>
        <v>0.34821510625219382</v>
      </c>
      <c r="G22" s="84">
        <v>4856</v>
      </c>
      <c r="H22" s="377">
        <v>16433</v>
      </c>
      <c r="I22" s="382">
        <f>Percent_MAC($B$6+H22,$B$5+G22,Constants!$A$3,Constants!$B$3)</f>
        <v>0.3843386791130195</v>
      </c>
      <c r="J22" s="84">
        <v>5966</v>
      </c>
      <c r="K22" s="377">
        <v>18423</v>
      </c>
      <c r="L22" s="382">
        <f>Percent_MAC($B$6+K22,$B$5+J22,Constants!$A$3,Constants!$B$3)</f>
        <v>0.34821510625219382</v>
      </c>
      <c r="M22" s="84">
        <v>4700</v>
      </c>
      <c r="N22" s="377">
        <v>15801</v>
      </c>
      <c r="O22" s="382">
        <f>Percent_MAC($B$6+N22,$B$5+M22,Constants!$A$3,Constants!$B$3)</f>
        <v>0.38145365978553736</v>
      </c>
    </row>
    <row r="23" spans="1:15" ht="15.75" thickBot="1">
      <c r="A23" s="394" t="s">
        <v>639</v>
      </c>
      <c r="B23" s="197">
        <f>DGET($G$8:$I$72,"Fuel_Mom",G6:I7)</f>
        <v>20619</v>
      </c>
      <c r="D23" s="84">
        <v>5900</v>
      </c>
      <c r="E23" s="377">
        <v>18224</v>
      </c>
      <c r="F23" s="382">
        <f>Percent_MAC($B$6+E23,$B$5+D23,Constants!$A$3,Constants!$B$3)</f>
        <v>0.34849358323043295</v>
      </c>
      <c r="G23" s="84">
        <v>4800</v>
      </c>
      <c r="H23" s="377">
        <v>16259</v>
      </c>
      <c r="I23" s="382">
        <f>Percent_MAC($B$6+H23,$B$5+G23,Constants!$A$3,Constants!$B$3)</f>
        <v>0.38452759656627306</v>
      </c>
      <c r="J23" s="84">
        <v>5900</v>
      </c>
      <c r="K23" s="377">
        <v>18224</v>
      </c>
      <c r="L23" s="382">
        <f>Percent_MAC($B$6+K23,$B$5+J23,Constants!$A$3,Constants!$B$3)</f>
        <v>0.34849358323043295</v>
      </c>
      <c r="M23" s="84">
        <v>4600</v>
      </c>
      <c r="N23" s="377">
        <v>15492</v>
      </c>
      <c r="O23" s="382">
        <f>Percent_MAC($B$6+N23,$B$5+M23,Constants!$A$3,Constants!$B$3)</f>
        <v>0.38182388230013609</v>
      </c>
    </row>
    <row r="24" spans="1:15" ht="15.75" thickBot="1">
      <c r="A24" s="529" t="s">
        <v>633</v>
      </c>
      <c r="B24" s="530"/>
      <c r="C24" s="13"/>
      <c r="D24" s="84">
        <v>5800</v>
      </c>
      <c r="E24" s="377">
        <v>17923</v>
      </c>
      <c r="F24" s="382">
        <f>Percent_MAC($B$6+E24,$B$5+D24,Constants!$A$3,Constants!$B$3)</f>
        <v>0.34892918670686901</v>
      </c>
      <c r="G24" s="84">
        <v>4700</v>
      </c>
      <c r="H24" s="377">
        <v>15949</v>
      </c>
      <c r="I24" s="382">
        <f>Percent_MAC($B$6+H24,$B$5+G24,Constants!$A$3,Constants!$B$3)</f>
        <v>0.38488315734264128</v>
      </c>
      <c r="J24" s="84">
        <v>5800</v>
      </c>
      <c r="K24" s="377">
        <v>17923</v>
      </c>
      <c r="L24" s="382">
        <f>Percent_MAC($B$6+K24,$B$5+J24,Constants!$A$3,Constants!$B$3)</f>
        <v>0.34892918670686901</v>
      </c>
      <c r="M24" s="84">
        <v>4500</v>
      </c>
      <c r="N24" s="377">
        <v>15182</v>
      </c>
      <c r="O24" s="382">
        <f>Percent_MAC($B$6+N24,$B$5+M24,Constants!$A$3,Constants!$B$3)</f>
        <v>0.38217313121134128</v>
      </c>
    </row>
    <row r="25" spans="1:15">
      <c r="A25" s="392" t="s">
        <v>175</v>
      </c>
      <c r="B25" s="395">
        <f>MIN(L9:L86)</f>
        <v>0.34821510625219382</v>
      </c>
      <c r="C25" s="13"/>
      <c r="D25" s="84">
        <v>5700</v>
      </c>
      <c r="E25" s="377">
        <v>17621</v>
      </c>
      <c r="F25" s="382">
        <f>Percent_MAC($B$6+E25,$B$5+D25,Constants!$A$3,Constants!$B$3)</f>
        <v>0.34934498367431266</v>
      </c>
      <c r="G25" s="84">
        <v>4642</v>
      </c>
      <c r="H25" s="377">
        <v>15639</v>
      </c>
      <c r="I25" s="382">
        <f>Percent_MAC($B$6+H25,$B$5+G25,Constants!$A$3,Constants!$B$3)</f>
        <v>0.38206786094594974</v>
      </c>
      <c r="J25" s="84">
        <v>5700</v>
      </c>
      <c r="K25" s="377">
        <v>17621</v>
      </c>
      <c r="L25" s="382">
        <f>Percent_MAC($B$6+K25,$B$5+J25,Constants!$A$3,Constants!$B$3)</f>
        <v>0.34934498367431266</v>
      </c>
      <c r="M25" s="84">
        <v>4400</v>
      </c>
      <c r="N25" s="377">
        <v>14873</v>
      </c>
      <c r="O25" s="382">
        <f>Percent_MAC($B$6+N25,$B$5+M25,Constants!$A$3,Constants!$B$3)</f>
        <v>0.38254799294693553</v>
      </c>
    </row>
    <row r="26" spans="1:15">
      <c r="A26" s="393" t="s">
        <v>191</v>
      </c>
      <c r="B26" s="375">
        <f>DGET(J8:L86,"Fuel_Weight",J4:L5)</f>
        <v>5966</v>
      </c>
      <c r="C26" s="13"/>
      <c r="D26" s="84">
        <v>5600</v>
      </c>
      <c r="E26" s="377">
        <v>17320</v>
      </c>
      <c r="F26" s="382">
        <f>Percent_MAC($B$6+E26,$B$5+D26,Constants!$A$3,Constants!$B$3)</f>
        <v>0.34978586006206142</v>
      </c>
      <c r="G26" s="84">
        <v>4500</v>
      </c>
      <c r="H26" s="377">
        <v>15329</v>
      </c>
      <c r="I26" s="382">
        <f>Percent_MAC($B$6+H26,$B$5+G26,Constants!$A$3,Constants!$B$3)</f>
        <v>0.38560103667883111</v>
      </c>
      <c r="J26" s="84">
        <v>5600</v>
      </c>
      <c r="K26" s="377">
        <v>17320</v>
      </c>
      <c r="L26" s="382">
        <f>Percent_MAC($B$6+K26,$B$5+J26,Constants!$A$3,Constants!$B$3)</f>
        <v>0.34978586006206142</v>
      </c>
      <c r="M26" s="84">
        <v>4300</v>
      </c>
      <c r="N26" s="377">
        <v>14564</v>
      </c>
      <c r="O26" s="382">
        <f>Percent_MAC($B$6+N26,$B$5+M26,Constants!$A$3,Constants!$B$3)</f>
        <v>0.3829252446964645</v>
      </c>
    </row>
    <row r="27" spans="1:15" ht="15.75" thickBot="1">
      <c r="A27" s="394" t="s">
        <v>639</v>
      </c>
      <c r="B27" s="375">
        <f>DGET(J8:L86,"Fuel_Mom",J4:L5)</f>
        <v>18423</v>
      </c>
      <c r="C27" s="13"/>
      <c r="D27" s="84">
        <v>5500</v>
      </c>
      <c r="E27" s="377">
        <v>17019</v>
      </c>
      <c r="F27" s="382">
        <f>Percent_MAC($B$6+E27,$B$5+D27,Constants!$A$3,Constants!$B$3)</f>
        <v>0.35022944378738741</v>
      </c>
      <c r="G27" s="84">
        <v>4400</v>
      </c>
      <c r="H27" s="377">
        <v>15019</v>
      </c>
      <c r="I27" s="382">
        <f>Percent_MAC($B$6+H27,$B$5+G27,Constants!$A$3,Constants!$B$3)</f>
        <v>0.38596339818748082</v>
      </c>
      <c r="J27" s="84">
        <v>5500</v>
      </c>
      <c r="K27" s="377">
        <v>17019</v>
      </c>
      <c r="L27" s="382">
        <f>Percent_MAC($B$6+K27,$B$5+J27,Constants!$A$3,Constants!$B$3)</f>
        <v>0.35022944378738741</v>
      </c>
      <c r="M27" s="84">
        <v>4200</v>
      </c>
      <c r="N27" s="377">
        <v>14255</v>
      </c>
      <c r="O27" s="382">
        <f>Percent_MAC($B$6+N27,$B$5+M27,Constants!$A$3,Constants!$B$3)</f>
        <v>0.38330490939012019</v>
      </c>
    </row>
    <row r="28" spans="1:15" ht="15.75" thickBot="1">
      <c r="A28" s="531" t="s">
        <v>634</v>
      </c>
      <c r="B28" s="532"/>
      <c r="C28" s="13"/>
      <c r="D28" s="84">
        <v>5400</v>
      </c>
      <c r="E28" s="377">
        <v>16717</v>
      </c>
      <c r="F28" s="382">
        <f>Percent_MAC($B$6+E28,$B$5+D28,Constants!$A$3,Constants!$B$3)</f>
        <v>0.35065308715596122</v>
      </c>
      <c r="G28" s="84">
        <v>4300</v>
      </c>
      <c r="H28" s="377">
        <v>14708</v>
      </c>
      <c r="I28" s="382">
        <f>Percent_MAC($B$6+H28,$B$5+G28,Constants!$A$3,Constants!$B$3)</f>
        <v>0.38630460225130542</v>
      </c>
      <c r="J28" s="84">
        <v>5400</v>
      </c>
      <c r="K28" s="377">
        <v>16717</v>
      </c>
      <c r="L28" s="382">
        <f>Percent_MAC($B$6+K28,$B$5+J28,Constants!$A$3,Constants!$B$3)</f>
        <v>0.35065308715596122</v>
      </c>
      <c r="M28" s="84">
        <v>4100</v>
      </c>
      <c r="N28" s="377">
        <v>13945</v>
      </c>
      <c r="O28" s="382">
        <f>Percent_MAC($B$6+N28,$B$5+M28,Constants!$A$3,Constants!$B$3)</f>
        <v>0.38366339190758397</v>
      </c>
    </row>
    <row r="29" spans="1:15">
      <c r="A29" s="392" t="s">
        <v>175</v>
      </c>
      <c r="B29" s="395">
        <f>MAX(L9:L86)</f>
        <v>0.36775923646378011</v>
      </c>
      <c r="C29" s="13"/>
      <c r="D29" s="84">
        <v>5300</v>
      </c>
      <c r="E29" s="377">
        <v>16416</v>
      </c>
      <c r="F29" s="382">
        <f>Percent_MAC($B$6+E29,$B$5+D29,Constants!$A$3,Constants!$B$3)</f>
        <v>0.3511020908650509</v>
      </c>
      <c r="G29" s="84">
        <v>4200</v>
      </c>
      <c r="H29" s="377">
        <v>14398</v>
      </c>
      <c r="I29" s="382">
        <f>Percent_MAC($B$6+H29,$B$5+G29,Constants!$A$3,Constants!$B$3)</f>
        <v>0.38667153150625294</v>
      </c>
      <c r="J29" s="84">
        <v>5300</v>
      </c>
      <c r="K29" s="377">
        <v>16416</v>
      </c>
      <c r="L29" s="382">
        <f>Percent_MAC($B$6+K29,$B$5+J29,Constants!$A$3,Constants!$B$3)</f>
        <v>0.3511020908650509</v>
      </c>
      <c r="M29" s="84">
        <v>4000</v>
      </c>
      <c r="N29" s="377">
        <v>13636</v>
      </c>
      <c r="O29" s="382">
        <f>Percent_MAC($B$6+N29,$B$5+M29,Constants!$A$3,Constants!$B$3)</f>
        <v>0.3840478764428778</v>
      </c>
    </row>
    <row r="30" spans="1:15">
      <c r="A30" s="393" t="s">
        <v>191</v>
      </c>
      <c r="B30" s="375">
        <f>DGET(J8:L86,"Fuel_Weight",J6:L7)</f>
        <v>1934</v>
      </c>
      <c r="C30" s="13"/>
      <c r="D30" s="84">
        <v>5200</v>
      </c>
      <c r="E30" s="377">
        <v>16115</v>
      </c>
      <c r="F30" s="382">
        <f>Percent_MAC($B$6+E30,$B$5+D30,Constants!$A$3,Constants!$B$3)</f>
        <v>0.35155387745374078</v>
      </c>
      <c r="G30" s="84">
        <v>4100</v>
      </c>
      <c r="H30" s="377">
        <v>14088</v>
      </c>
      <c r="I30" s="382">
        <f>Percent_MAC($B$6+H30,$B$5+G30,Constants!$A$3,Constants!$B$3)</f>
        <v>0.38704081521116646</v>
      </c>
      <c r="J30" s="84">
        <v>5200</v>
      </c>
      <c r="K30" s="377">
        <v>16115</v>
      </c>
      <c r="L30" s="382">
        <f>Percent_MAC($B$6+K30,$B$5+J30,Constants!$A$3,Constants!$B$3)</f>
        <v>0.35155387745374078</v>
      </c>
      <c r="M30" s="84">
        <v>3900</v>
      </c>
      <c r="N30" s="377">
        <v>13327</v>
      </c>
      <c r="O30" s="382">
        <f>Percent_MAC($B$6+N30,$B$5+M30,Constants!$A$3,Constants!$B$3)</f>
        <v>0.38443484400658862</v>
      </c>
    </row>
    <row r="31" spans="1:15" ht="15.75" thickBot="1">
      <c r="A31" s="394" t="s">
        <v>639</v>
      </c>
      <c r="B31" s="375">
        <f>DGET(J8:L86,"Fuel_Mom",J6:L7)</f>
        <v>6274</v>
      </c>
      <c r="C31" s="13"/>
      <c r="D31" s="84">
        <v>5100</v>
      </c>
      <c r="E31" s="377">
        <v>15813</v>
      </c>
      <c r="F31" s="382">
        <f>Percent_MAC($B$6+E31,$B$5+D31,Constants!$A$3,Constants!$B$3)</f>
        <v>0.35198558872548885</v>
      </c>
      <c r="G31" s="84">
        <v>4000</v>
      </c>
      <c r="H31" s="377">
        <v>13778</v>
      </c>
      <c r="I31" s="382">
        <f>Percent_MAC($B$6+H31,$B$5+G31,Constants!$A$3,Constants!$B$3)</f>
        <v>0.38741247610044294</v>
      </c>
      <c r="J31" s="84">
        <v>5100</v>
      </c>
      <c r="K31" s="377">
        <v>15813</v>
      </c>
      <c r="L31" s="382">
        <f>Percent_MAC($B$6+K31,$B$5+J31,Constants!$A$3,Constants!$B$3)</f>
        <v>0.35198558872548885</v>
      </c>
      <c r="M31" s="84">
        <v>3800</v>
      </c>
      <c r="N31" s="377">
        <v>13018</v>
      </c>
      <c r="O31" s="382">
        <f>Percent_MAC($B$6+N31,$B$5+M31,Constants!$A$3,Constants!$B$3)</f>
        <v>0.38482431872999845</v>
      </c>
    </row>
    <row r="32" spans="1:15" ht="15.75" thickBot="1">
      <c r="A32" s="529" t="s">
        <v>635</v>
      </c>
      <c r="B32" s="530"/>
      <c r="C32" s="13"/>
      <c r="D32" s="84">
        <v>5000</v>
      </c>
      <c r="E32" s="377">
        <v>15512</v>
      </c>
      <c r="F32" s="382">
        <f>Percent_MAC($B$6+E32,$B$5+D32,Constants!$A$3,Constants!$B$3)</f>
        <v>0.35244294789529385</v>
      </c>
      <c r="G32" s="84">
        <v>3900</v>
      </c>
      <c r="H32" s="377">
        <v>13468</v>
      </c>
      <c r="I32" s="382">
        <f>Percent_MAC($B$6+H32,$B$5+G32,Constants!$A$3,Constants!$B$3)</f>
        <v>0.38778653720212086</v>
      </c>
      <c r="J32" s="84">
        <v>5000</v>
      </c>
      <c r="K32" s="377">
        <v>15512</v>
      </c>
      <c r="L32" s="382">
        <f>Percent_MAC($B$6+K32,$B$5+J32,Constants!$A$3,Constants!$B$3)</f>
        <v>0.35244294789529385</v>
      </c>
      <c r="M32" s="84">
        <v>3700</v>
      </c>
      <c r="N32" s="377">
        <v>12708</v>
      </c>
      <c r="O32" s="382">
        <f>Percent_MAC($B$6+N32,$B$5+M32,Constants!$A$3,Constants!$B$3)</f>
        <v>0.38519239967253222</v>
      </c>
    </row>
    <row r="33" spans="1:15">
      <c r="A33" s="392" t="s">
        <v>175</v>
      </c>
      <c r="B33" s="395">
        <f>MIN(O9:O74)</f>
        <v>0.36705498933036834</v>
      </c>
      <c r="C33" s="13"/>
      <c r="D33" s="84">
        <v>4900</v>
      </c>
      <c r="E33" s="377">
        <v>15211</v>
      </c>
      <c r="F33" s="382">
        <f>Percent_MAC($B$6+E33,$B$5+D33,Constants!$A$3,Constants!$B$3)</f>
        <v>0.35290316833176238</v>
      </c>
      <c r="G33" s="84">
        <v>3800</v>
      </c>
      <c r="H33" s="377">
        <v>13157</v>
      </c>
      <c r="I33" s="382">
        <f>Percent_MAC($B$6+H33,$B$5+G33,Constants!$A$3,Constants!$B$3)</f>
        <v>0.3881391739632592</v>
      </c>
      <c r="J33" s="84">
        <v>4900</v>
      </c>
      <c r="K33" s="377">
        <v>15211</v>
      </c>
      <c r="L33" s="382">
        <f>Percent_MAC($B$6+K33,$B$5+J33,Constants!$A$3,Constants!$B$3)</f>
        <v>0.35290316833176238</v>
      </c>
      <c r="M33" s="84">
        <v>3600</v>
      </c>
      <c r="N33" s="377">
        <v>12399</v>
      </c>
      <c r="O33" s="382">
        <f>Percent_MAC($B$6+N33,$B$5+M33,Constants!$A$3,Constants!$B$3)</f>
        <v>0.38558688435750837</v>
      </c>
    </row>
    <row r="34" spans="1:15">
      <c r="A34" s="393" t="s">
        <v>191</v>
      </c>
      <c r="B34" s="375">
        <f>DGET(M8:O74,"Fuel_Weight",M4:O5)</f>
        <v>0</v>
      </c>
      <c r="C34" s="13"/>
      <c r="D34" s="84">
        <v>4800</v>
      </c>
      <c r="E34" s="377">
        <v>14910</v>
      </c>
      <c r="F34" s="382">
        <f>Percent_MAC($B$6+E34,$B$5+D34,Constants!$A$3,Constants!$B$3)</f>
        <v>0.35336627696953293</v>
      </c>
      <c r="G34" s="84">
        <v>3700</v>
      </c>
      <c r="H34" s="377">
        <v>12847</v>
      </c>
      <c r="I34" s="382">
        <f>Percent_MAC($B$6+H34,$B$5+G34,Constants!$A$3,Constants!$B$3)</f>
        <v>0.38851802826610105</v>
      </c>
      <c r="J34" s="84">
        <v>4800</v>
      </c>
      <c r="K34" s="377">
        <v>14910</v>
      </c>
      <c r="L34" s="382">
        <f>Percent_MAC($B$6+K34,$B$5+J34,Constants!$A$3,Constants!$B$3)</f>
        <v>0.35336627696953293</v>
      </c>
      <c r="M34" s="84">
        <v>3500</v>
      </c>
      <c r="N34" s="377">
        <v>12090</v>
      </c>
      <c r="O34" s="382">
        <f>Percent_MAC($B$6+N34,$B$5+M34,Constants!$A$3,Constants!$B$3)</f>
        <v>0.38598394998844249</v>
      </c>
    </row>
    <row r="35" spans="1:15" ht="15.75" thickBot="1">
      <c r="A35" s="394" t="s">
        <v>639</v>
      </c>
      <c r="B35" s="375">
        <f>DGET(M8:O74,"Fuel_Weight",M4:O5)</f>
        <v>0</v>
      </c>
      <c r="C35" s="13"/>
      <c r="D35" s="84">
        <v>4700</v>
      </c>
      <c r="E35" s="377">
        <v>14608</v>
      </c>
      <c r="F35" s="382">
        <f>Percent_MAC($B$6+E35,$B$5+D35,Constants!$A$3,Constants!$B$3)</f>
        <v>0.35380912880158399</v>
      </c>
      <c r="G35" s="84">
        <v>3600</v>
      </c>
      <c r="H35" s="377">
        <v>12537</v>
      </c>
      <c r="I35" s="382">
        <f>Percent_MAC($B$6+H35,$B$5+G35,Constants!$A$3,Constants!$B$3)</f>
        <v>0.38889935316989421</v>
      </c>
      <c r="J35" s="84">
        <v>4700</v>
      </c>
      <c r="K35" s="377">
        <v>14608</v>
      </c>
      <c r="L35" s="382">
        <f>Percent_MAC($B$6+K35,$B$5+J35,Constants!$A$3,Constants!$B$3)</f>
        <v>0.35380912880158399</v>
      </c>
      <c r="M35" s="84">
        <v>3400</v>
      </c>
      <c r="N35" s="377">
        <v>11781</v>
      </c>
      <c r="O35" s="382">
        <f>Percent_MAC($B$6+N35,$B$5+M35,Constants!$A$3,Constants!$B$3)</f>
        <v>0.3863836219775173</v>
      </c>
    </row>
    <row r="36" spans="1:15" ht="15.75" thickBot="1">
      <c r="A36" s="529" t="s">
        <v>636</v>
      </c>
      <c r="B36" s="530"/>
      <c r="C36" s="13"/>
      <c r="D36" s="84">
        <v>4600</v>
      </c>
      <c r="E36" s="377">
        <v>14307</v>
      </c>
      <c r="F36" s="382">
        <f>Percent_MAC($B$6+E36,$B$5+D36,Constants!$A$3,Constants!$B$3)</f>
        <v>0.35427802283752136</v>
      </c>
      <c r="G36" s="84">
        <v>3500</v>
      </c>
      <c r="H36" s="377">
        <v>12227</v>
      </c>
      <c r="I36" s="382">
        <f>Percent_MAC($B$6+H36,$B$5+G36,Constants!$A$3,Constants!$B$3)</f>
        <v>0.38928317292077969</v>
      </c>
      <c r="J36" s="84">
        <v>4600</v>
      </c>
      <c r="K36" s="377">
        <v>14307</v>
      </c>
      <c r="L36" s="382">
        <f>Percent_MAC($B$6+K36,$B$5+J36,Constants!$A$3,Constants!$B$3)</f>
        <v>0.35427802283752136</v>
      </c>
      <c r="M36" s="84">
        <v>3300</v>
      </c>
      <c r="N36" s="377">
        <v>11471</v>
      </c>
      <c r="O36" s="382">
        <f>Percent_MAC($B$6+N36,$B$5+M36,Constants!$A$3,Constants!$B$3)</f>
        <v>0.38676168555700874</v>
      </c>
    </row>
    <row r="37" spans="1:15">
      <c r="A37" s="392" t="s">
        <v>175</v>
      </c>
      <c r="B37" s="395">
        <f>MAX(O9:O74)</f>
        <v>0.38805664524252831</v>
      </c>
      <c r="C37" s="13"/>
      <c r="D37" s="84">
        <v>4500</v>
      </c>
      <c r="E37" s="377">
        <v>14006</v>
      </c>
      <c r="F37" s="382">
        <f>Percent_MAC($B$6+E37,$B$5+D37,Constants!$A$3,Constants!$B$3)</f>
        <v>0.35474988747142422</v>
      </c>
      <c r="G37" s="84">
        <v>3400</v>
      </c>
      <c r="H37" s="377">
        <v>11917</v>
      </c>
      <c r="I37" s="382">
        <f>Percent_MAC($B$6+H37,$B$5+G37,Constants!$A$3,Constants!$B$3)</f>
        <v>0.38966951208320366</v>
      </c>
      <c r="J37" s="84">
        <v>4500</v>
      </c>
      <c r="K37" s="377">
        <v>14006</v>
      </c>
      <c r="L37" s="382">
        <f>Percent_MAC($B$6+K37,$B$5+J37,Constants!$A$3,Constants!$B$3)</f>
        <v>0.35474988747142422</v>
      </c>
      <c r="M37" s="84">
        <v>3200</v>
      </c>
      <c r="N37" s="377">
        <v>11162</v>
      </c>
      <c r="O37" s="382">
        <f>Percent_MAC($B$6+N37,$B$5+M37,Constants!$A$3,Constants!$B$3)</f>
        <v>0.38716656775965752</v>
      </c>
    </row>
    <row r="38" spans="1:15">
      <c r="A38" s="393" t="s">
        <v>191</v>
      </c>
      <c r="B38" s="375">
        <f>DGET(M8:O74,"Fuel_Weight",M6:O7)</f>
        <v>5920</v>
      </c>
      <c r="C38" s="13"/>
      <c r="D38" s="84">
        <v>4400</v>
      </c>
      <c r="E38" s="377">
        <v>13704</v>
      </c>
      <c r="F38" s="382">
        <f>Percent_MAC($B$6+E38,$B$5+D38,Constants!$A$3,Constants!$B$3)</f>
        <v>0.35520135783599338</v>
      </c>
      <c r="G38" s="84">
        <v>3308</v>
      </c>
      <c r="H38" s="377">
        <v>11631</v>
      </c>
      <c r="I38" s="382">
        <f>Percent_MAC($B$6+H38,$B$5+G38,Constants!$A$3,Constants!$B$3)</f>
        <v>0.39000780334161894</v>
      </c>
      <c r="J38" s="84">
        <v>4400</v>
      </c>
      <c r="K38" s="377">
        <v>13704</v>
      </c>
      <c r="L38" s="382">
        <f>Percent_MAC($B$6+K38,$B$5+J38,Constants!$A$3,Constants!$B$3)</f>
        <v>0.35520135783599338</v>
      </c>
      <c r="M38" s="84">
        <v>3176</v>
      </c>
      <c r="N38" s="377">
        <v>11088</v>
      </c>
      <c r="O38" s="382">
        <f>Percent_MAC($B$6+N38,$B$5+M38,Constants!$A$3,Constants!$B$3)</f>
        <v>0.38726803226146272</v>
      </c>
    </row>
    <row r="39" spans="1:15">
      <c r="A39" s="393" t="s">
        <v>639</v>
      </c>
      <c r="B39" s="375">
        <f>DGET(M8:O74,"Fuel_Mom",M6:O7)</f>
        <v>20061</v>
      </c>
      <c r="C39" s="13"/>
      <c r="D39" s="84">
        <v>4300</v>
      </c>
      <c r="E39" s="377">
        <v>13403</v>
      </c>
      <c r="F39" s="382">
        <f>Percent_MAC($B$6+E39,$B$5+D39,Constants!$A$3,Constants!$B$3)</f>
        <v>0.35567917441055835</v>
      </c>
      <c r="G39" s="84">
        <v>3200</v>
      </c>
      <c r="H39" s="377">
        <v>11260</v>
      </c>
      <c r="I39" s="382">
        <f>Percent_MAC($B$6+H39,$B$5+G39,Constants!$A$3,Constants!$B$3)</f>
        <v>0.38954998638824745</v>
      </c>
      <c r="J39" s="84">
        <v>4300</v>
      </c>
      <c r="K39" s="377">
        <v>13403</v>
      </c>
      <c r="L39" s="382">
        <f>Percent_MAC($B$6+K39,$B$5+J39,Constants!$A$3,Constants!$B$3)</f>
        <v>0.35567917441055835</v>
      </c>
      <c r="M39" s="84">
        <v>3100</v>
      </c>
      <c r="N39" s="377">
        <v>10828</v>
      </c>
      <c r="O39" s="382">
        <f>Percent_MAC($B$6+N39,$B$5+M39,Constants!$A$3,Constants!$B$3)</f>
        <v>0.38696410373701245</v>
      </c>
    </row>
    <row r="40" spans="1:15">
      <c r="B40" s="13"/>
      <c r="C40" s="13"/>
      <c r="D40" s="84">
        <v>4200</v>
      </c>
      <c r="E40" s="377">
        <v>13102</v>
      </c>
      <c r="F40" s="382">
        <f>Percent_MAC($B$6+E40,$B$5+D40,Constants!$A$3,Constants!$B$3)</f>
        <v>0.35616004715305044</v>
      </c>
      <c r="G40" s="84">
        <v>3100</v>
      </c>
      <c r="H40" s="377">
        <v>10917</v>
      </c>
      <c r="I40" s="382">
        <f>Percent_MAC($B$6+H40,$B$5+G40,Constants!$A$3,Constants!$B$3)</f>
        <v>0.38913581167471917</v>
      </c>
      <c r="J40" s="84">
        <v>4200</v>
      </c>
      <c r="K40" s="377">
        <v>13102</v>
      </c>
      <c r="L40" s="382">
        <f>Percent_MAC($B$6+K40,$B$5+J40,Constants!$A$3,Constants!$B$3)</f>
        <v>0.35616004715305044</v>
      </c>
      <c r="M40" s="84">
        <v>3000</v>
      </c>
      <c r="N40" s="377">
        <v>10486</v>
      </c>
      <c r="O40" s="382">
        <f>Percent_MAC($B$6+N40,$B$5+M40,Constants!$A$3,Constants!$B$3)</f>
        <v>0.38656443414344088</v>
      </c>
    </row>
    <row r="41" spans="1:15">
      <c r="B41" s="13"/>
      <c r="C41" s="13"/>
      <c r="D41" s="84">
        <v>4100</v>
      </c>
      <c r="E41" s="377">
        <v>12800</v>
      </c>
      <c r="F41" s="382">
        <f>Percent_MAC($B$6+E41,$B$5+D41,Constants!$A$3,Constants!$B$3)</f>
        <v>0.35662038713414679</v>
      </c>
      <c r="G41" s="84">
        <v>3000</v>
      </c>
      <c r="H41" s="377">
        <v>10574</v>
      </c>
      <c r="I41" s="382">
        <f>Percent_MAC($B$6+H41,$B$5+G41,Constants!$A$3,Constants!$B$3)</f>
        <v>0.3887188821325398</v>
      </c>
      <c r="J41" s="84">
        <v>4100</v>
      </c>
      <c r="K41" s="377">
        <v>12800</v>
      </c>
      <c r="L41" s="382">
        <f>Percent_MAC($B$6+K41,$B$5+J41,Constants!$A$3,Constants!$B$3)</f>
        <v>0.35662038713414679</v>
      </c>
      <c r="M41" s="84">
        <v>2900</v>
      </c>
      <c r="N41" s="377">
        <v>10144</v>
      </c>
      <c r="O41" s="382">
        <f>Percent_MAC($B$6+N41,$B$5+M41,Constants!$A$3,Constants!$B$3)</f>
        <v>0.38616209732978468</v>
      </c>
    </row>
    <row r="42" spans="1:15">
      <c r="B42" s="13"/>
      <c r="C42" s="13"/>
      <c r="D42" s="84">
        <v>4000</v>
      </c>
      <c r="E42" s="377">
        <v>12499</v>
      </c>
      <c r="F42" s="382">
        <f>Percent_MAC($B$6+E42,$B$5+D42,Constants!$A$3,Constants!$B$3)</f>
        <v>0.35710738481856996</v>
      </c>
      <c r="G42" s="84">
        <v>2900</v>
      </c>
      <c r="H42" s="377">
        <v>10231</v>
      </c>
      <c r="I42" s="382">
        <f>Percent_MAC($B$6+H42,$B$5+G42,Constants!$A$3,Constants!$B$3)</f>
        <v>0.38829917018492738</v>
      </c>
      <c r="J42" s="84">
        <v>4000</v>
      </c>
      <c r="K42" s="377">
        <v>12499</v>
      </c>
      <c r="L42" s="382">
        <f>Percent_MAC($B$6+K42,$B$5+J42,Constants!$A$3,Constants!$B$3)</f>
        <v>0.35710738481856996</v>
      </c>
      <c r="M42" s="84">
        <v>2800</v>
      </c>
      <c r="N42" s="375">
        <v>9801</v>
      </c>
      <c r="O42" s="382">
        <f>Percent_MAC($B$6+N42,$B$5+M42,Constants!$A$3,Constants!$B$3)</f>
        <v>0.38573242021176019</v>
      </c>
    </row>
    <row r="43" spans="1:15">
      <c r="B43" s="13"/>
      <c r="C43" s="13"/>
      <c r="D43" s="84">
        <v>3900</v>
      </c>
      <c r="E43" s="377">
        <v>12198</v>
      </c>
      <c r="F43" s="382">
        <f>Percent_MAC($B$6+E43,$B$5+D43,Constants!$A$3,Constants!$B$3)</f>
        <v>0.35759752756860369</v>
      </c>
      <c r="G43" s="84">
        <v>2800</v>
      </c>
      <c r="H43" s="375">
        <v>9887</v>
      </c>
      <c r="I43" s="382">
        <f>Percent_MAC($B$6+H43,$B$5+G43,Constants!$A$3,Constants!$B$3)</f>
        <v>0.3878520015906915</v>
      </c>
      <c r="J43" s="84">
        <v>3900</v>
      </c>
      <c r="K43" s="377">
        <v>12198</v>
      </c>
      <c r="L43" s="382">
        <f>Percent_MAC($B$6+K43,$B$5+J43,Constants!$A$3,Constants!$B$3)</f>
        <v>0.35759752756860369</v>
      </c>
      <c r="M43" s="84">
        <v>2700</v>
      </c>
      <c r="N43" s="375">
        <v>9459</v>
      </c>
      <c r="O43" s="382">
        <f>Percent_MAC($B$6+N43,$B$5+M43,Constants!$A$3,Constants!$B$3)</f>
        <v>0.38532458543861936</v>
      </c>
    </row>
    <row r="44" spans="1:15">
      <c r="B44" s="13"/>
      <c r="C44" s="13"/>
      <c r="D44" s="84">
        <v>3800</v>
      </c>
      <c r="E44" s="377">
        <v>11897</v>
      </c>
      <c r="F44" s="382">
        <f>Percent_MAC($B$6+E44,$B$5+D44,Constants!$A$3,Constants!$B$3)</f>
        <v>0.35809084594952934</v>
      </c>
      <c r="G44" s="84">
        <v>2700</v>
      </c>
      <c r="H44" s="375">
        <v>9544</v>
      </c>
      <c r="I44" s="382">
        <f>Percent_MAC($B$6+H44,$B$5+G44,Constants!$A$3,Constants!$B$3)</f>
        <v>0.38742655782663538</v>
      </c>
      <c r="J44" s="84">
        <v>3800</v>
      </c>
      <c r="K44" s="377">
        <v>11897</v>
      </c>
      <c r="L44" s="382">
        <f>Percent_MAC($B$6+K44,$B$5+J44,Constants!$A$3,Constants!$B$3)</f>
        <v>0.35809084594952934</v>
      </c>
      <c r="M44" s="84">
        <v>2600</v>
      </c>
      <c r="N44" s="375">
        <v>9117</v>
      </c>
      <c r="O44" s="382">
        <f>Percent_MAC($B$6+N44,$B$5+M44,Constants!$A$3,Constants!$B$3)</f>
        <v>0.3849140014338015</v>
      </c>
    </row>
    <row r="45" spans="1:15">
      <c r="B45" s="13"/>
      <c r="C45" s="13"/>
      <c r="D45" s="84">
        <v>3700</v>
      </c>
      <c r="E45" s="377">
        <v>11595</v>
      </c>
      <c r="F45" s="382">
        <f>Percent_MAC($B$6+E45,$B$5+D45,Constants!$A$3,Constants!$B$3)</f>
        <v>0.35856344553841529</v>
      </c>
      <c r="G45" s="84">
        <v>2600</v>
      </c>
      <c r="H45" s="375">
        <v>9201</v>
      </c>
      <c r="I45" s="382">
        <f>Percent_MAC($B$6+H45,$B$5+G45,Constants!$A$3,Constants!$B$3)</f>
        <v>0.38699824612793993</v>
      </c>
      <c r="J45" s="84">
        <v>3700</v>
      </c>
      <c r="K45" s="377">
        <v>11595</v>
      </c>
      <c r="L45" s="382">
        <f>Percent_MAC($B$6+K45,$B$5+J45,Constants!$A$3,Constants!$B$3)</f>
        <v>0.35856344553841529</v>
      </c>
      <c r="M45" s="84">
        <v>2500</v>
      </c>
      <c r="N45" s="375">
        <v>8774</v>
      </c>
      <c r="O45" s="382">
        <f>Percent_MAC($B$6+N45,$B$5+M45,Constants!$A$3,Constants!$B$3)</f>
        <v>0.3844757439537419</v>
      </c>
    </row>
    <row r="46" spans="1:15">
      <c r="B46" s="13"/>
      <c r="C46" s="13"/>
      <c r="D46" s="84">
        <v>3600</v>
      </c>
      <c r="E46" s="377">
        <v>11294</v>
      </c>
      <c r="F46" s="382">
        <f>Percent_MAC($B$6+E46,$B$5+D46,Constants!$A$3,Constants!$B$3)</f>
        <v>0.35906313046122901</v>
      </c>
      <c r="G46" s="84">
        <v>2500</v>
      </c>
      <c r="H46" s="375">
        <v>8858</v>
      </c>
      <c r="I46" s="382">
        <f>Percent_MAC($B$6+H46,$B$5+G46,Constants!$A$3,Constants!$B$3)</f>
        <v>0.38656703739722614</v>
      </c>
      <c r="J46" s="84">
        <v>3600</v>
      </c>
      <c r="K46" s="377">
        <v>11294</v>
      </c>
      <c r="L46" s="382">
        <f>Percent_MAC($B$6+K46,$B$5+J46,Constants!$A$3,Constants!$B$3)</f>
        <v>0.35906313046122901</v>
      </c>
      <c r="M46" s="84">
        <v>2400</v>
      </c>
      <c r="N46" s="375">
        <v>8432</v>
      </c>
      <c r="O46" s="382">
        <f>Percent_MAC($B$6+N46,$B$5+M46,Constants!$A$3,Constants!$B$3)</f>
        <v>0.38405949294463304</v>
      </c>
    </row>
    <row r="47" spans="1:15">
      <c r="B47" s="13"/>
      <c r="C47" s="13"/>
      <c r="D47" s="84">
        <v>3500</v>
      </c>
      <c r="E47" s="377">
        <v>10993</v>
      </c>
      <c r="F47" s="382">
        <f>Percent_MAC($B$6+E47,$B$5+D47,Constants!$A$3,Constants!$B$3)</f>
        <v>0.35956608461053252</v>
      </c>
      <c r="G47" s="84">
        <v>2400</v>
      </c>
      <c r="H47" s="375">
        <v>8514</v>
      </c>
      <c r="I47" s="382">
        <f>Percent_MAC($B$6+H47,$B$5+G47,Constants!$A$3,Constants!$B$3)</f>
        <v>0.38610792130845539</v>
      </c>
      <c r="J47" s="84">
        <v>3500</v>
      </c>
      <c r="K47" s="377">
        <v>10993</v>
      </c>
      <c r="L47" s="382">
        <f>Percent_MAC($B$6+K47,$B$5+J47,Constants!$A$3,Constants!$B$3)</f>
        <v>0.35956608461053252</v>
      </c>
      <c r="M47" s="84">
        <v>2300</v>
      </c>
      <c r="N47" s="375">
        <v>8090</v>
      </c>
      <c r="O47" s="382">
        <f>Percent_MAC($B$6+N47,$B$5+M47,Constants!$A$3,Constants!$B$3)</f>
        <v>0.38364040730711241</v>
      </c>
    </row>
    <row r="48" spans="1:15">
      <c r="B48" s="13"/>
      <c r="C48" s="13"/>
      <c r="D48" s="84">
        <v>3400</v>
      </c>
      <c r="E48" s="377">
        <v>10691</v>
      </c>
      <c r="F48" s="382">
        <f>Percent_MAC($B$6+E48,$B$5+D48,Constants!$A$3,Constants!$B$3)</f>
        <v>0.36004817921870863</v>
      </c>
      <c r="G48" s="84">
        <v>2300</v>
      </c>
      <c r="H48" s="375">
        <v>8171</v>
      </c>
      <c r="I48" s="382">
        <f>Percent_MAC($B$6+H48,$B$5+G48,Constants!$A$3,Constants!$B$3)</f>
        <v>0.38567074457651301</v>
      </c>
      <c r="J48" s="84">
        <v>3400</v>
      </c>
      <c r="K48" s="377">
        <v>10691</v>
      </c>
      <c r="L48" s="382">
        <f>Percent_MAC($B$6+K48,$B$5+J48,Constants!$A$3,Constants!$B$3)</f>
        <v>0.36004817921870863</v>
      </c>
      <c r="M48" s="84">
        <v>2200</v>
      </c>
      <c r="N48" s="375">
        <v>7747</v>
      </c>
      <c r="O48" s="382">
        <f>Percent_MAC($B$6+N48,$B$5+M48,Constants!$A$3,Constants!$B$3)</f>
        <v>0.38319330645499777</v>
      </c>
    </row>
    <row r="49" spans="2:15">
      <c r="B49" s="13"/>
      <c r="C49" s="13"/>
      <c r="D49" s="84">
        <v>3300</v>
      </c>
      <c r="E49" s="377">
        <v>10390</v>
      </c>
      <c r="F49" s="382">
        <f>Percent_MAC($B$6+E49,$B$5+D49,Constants!$A$3,Constants!$B$3)</f>
        <v>0.36055768925413334</v>
      </c>
      <c r="G49" s="84">
        <v>2200</v>
      </c>
      <c r="H49" s="375">
        <v>7828</v>
      </c>
      <c r="I49" s="382">
        <f>Percent_MAC($B$6+H49,$B$5+G49,Constants!$A$3,Constants!$B$3)</f>
        <v>0.38523058054242865</v>
      </c>
      <c r="J49" s="84">
        <v>3300</v>
      </c>
      <c r="K49" s="377">
        <v>10390</v>
      </c>
      <c r="L49" s="382">
        <f>Percent_MAC($B$6+K49,$B$5+J49,Constants!$A$3,Constants!$B$3)</f>
        <v>0.36055768925413334</v>
      </c>
      <c r="M49" s="84">
        <v>2100</v>
      </c>
      <c r="N49" s="375">
        <v>7405</v>
      </c>
      <c r="O49" s="382">
        <f>Percent_MAC($B$6+N49,$B$5+M49,Constants!$A$3,Constants!$B$3)</f>
        <v>0.38276837777258482</v>
      </c>
    </row>
    <row r="50" spans="2:15">
      <c r="B50" s="13"/>
      <c r="C50" s="13"/>
      <c r="D50" s="84">
        <v>3200</v>
      </c>
      <c r="E50" s="377">
        <v>10089</v>
      </c>
      <c r="F50" s="382">
        <f>Percent_MAC($B$6+E50,$B$5+D50,Constants!$A$3,Constants!$B$3)</f>
        <v>0.36107056583642361</v>
      </c>
      <c r="G50" s="84">
        <v>2100</v>
      </c>
      <c r="H50" s="375">
        <v>7485</v>
      </c>
      <c r="I50" s="382">
        <f>Percent_MAC($B$6+H50,$B$5+G50,Constants!$A$3,Constants!$B$3)</f>
        <v>0.38478739848212445</v>
      </c>
      <c r="J50" s="84">
        <v>3200</v>
      </c>
      <c r="K50" s="377">
        <v>10089</v>
      </c>
      <c r="L50" s="382">
        <f>Percent_MAC($B$6+K50,$B$5+J50,Constants!$A$3,Constants!$B$3)</f>
        <v>0.36107056583642361</v>
      </c>
      <c r="M50" s="84">
        <v>2000</v>
      </c>
      <c r="N50" s="375">
        <v>7063</v>
      </c>
      <c r="O50" s="382">
        <f>Percent_MAC($B$6+N50,$B$5+M50,Constants!$A$3,Constants!$B$3)</f>
        <v>0.38234052550365416</v>
      </c>
    </row>
    <row r="51" spans="2:15">
      <c r="B51" s="13"/>
      <c r="C51" s="13"/>
      <c r="D51" s="84">
        <v>3100</v>
      </c>
      <c r="E51" s="375">
        <v>9787</v>
      </c>
      <c r="F51" s="382">
        <f>Percent_MAC($B$6+E51,$B$5+D51,Constants!$A$3,Constants!$B$3)</f>
        <v>0.36156244122967907</v>
      </c>
      <c r="G51" s="84">
        <v>2000</v>
      </c>
      <c r="H51" s="375">
        <v>7141</v>
      </c>
      <c r="I51" s="382">
        <f>Percent_MAC($B$6+H51,$B$5+G51,Constants!$A$3,Constants!$B$3)</f>
        <v>0.38431584266969515</v>
      </c>
      <c r="J51" s="84">
        <v>3100</v>
      </c>
      <c r="K51" s="375">
        <v>9787</v>
      </c>
      <c r="L51" s="382">
        <f>Percent_MAC($B$6+K51,$B$5+J51,Constants!$A$3,Constants!$B$3)</f>
        <v>0.36156244122967907</v>
      </c>
      <c r="M51" s="84">
        <v>1900</v>
      </c>
      <c r="N51" s="375">
        <v>6721</v>
      </c>
      <c r="O51" s="382">
        <f>Percent_MAC($B$6+N51,$B$5+M51,Constants!$A$3,Constants!$B$3)</f>
        <v>0.38190971937184293</v>
      </c>
    </row>
    <row r="52" spans="2:15">
      <c r="B52" s="13"/>
      <c r="C52" s="13"/>
      <c r="D52" s="84">
        <v>3000</v>
      </c>
      <c r="E52" s="375">
        <v>9486</v>
      </c>
      <c r="F52" s="382">
        <f>Percent_MAC($B$6+E52,$B$5+D52,Constants!$A$3,Constants!$B$3)</f>
        <v>0.36208207063095271</v>
      </c>
      <c r="G52" s="84">
        <v>1876</v>
      </c>
      <c r="H52" s="375">
        <v>6716</v>
      </c>
      <c r="I52" s="382">
        <f>Percent_MAC($B$6+H52,$B$5+G52,Constants!$A$3,Constants!$B$3)</f>
        <v>0.38376626393910207</v>
      </c>
      <c r="J52" s="84">
        <v>3000</v>
      </c>
      <c r="K52" s="375">
        <v>9486</v>
      </c>
      <c r="L52" s="382">
        <f>Percent_MAC($B$6+K52,$B$5+J52,Constants!$A$3,Constants!$B$3)</f>
        <v>0.36208207063095271</v>
      </c>
      <c r="M52" s="84">
        <v>1800</v>
      </c>
      <c r="N52" s="375">
        <v>6378</v>
      </c>
      <c r="O52" s="382">
        <f>Percent_MAC($B$6+N52,$B$5+M52,Constants!$A$3,Constants!$B$3)</f>
        <v>0.38145042865744061</v>
      </c>
    </row>
    <row r="53" spans="2:15">
      <c r="B53" s="13"/>
      <c r="C53" s="13"/>
      <c r="D53" s="84">
        <v>2900</v>
      </c>
      <c r="E53" s="375">
        <v>9185</v>
      </c>
      <c r="F53" s="382">
        <f>Percent_MAC($B$6+E53,$B$5+D53,Constants!$A$3,Constants!$B$3)</f>
        <v>0.3626051678116069</v>
      </c>
      <c r="G53" s="84">
        <v>1800</v>
      </c>
      <c r="H53" s="375">
        <v>6444</v>
      </c>
      <c r="I53" s="382">
        <f>Percent_MAC($B$6+H53,$B$5+G53,Constants!$A$3,Constants!$B$3)</f>
        <v>0.38313343023138391</v>
      </c>
      <c r="J53" s="84">
        <v>2900</v>
      </c>
      <c r="K53" s="375">
        <v>9185</v>
      </c>
      <c r="L53" s="382">
        <f>Percent_MAC($B$6+K53,$B$5+J53,Constants!$A$3,Constants!$B$3)</f>
        <v>0.3626051678116069</v>
      </c>
      <c r="M53" s="84">
        <v>1744</v>
      </c>
      <c r="N53" s="375">
        <v>6187</v>
      </c>
      <c r="O53" s="382">
        <f>Percent_MAC($B$6+N53,$B$5+M53,Constants!$A$3,Constants!$B$3)</f>
        <v>0.38121942685576959</v>
      </c>
    </row>
    <row r="54" spans="2:15">
      <c r="B54" s="13"/>
      <c r="C54" s="13"/>
      <c r="D54" s="84">
        <v>2800</v>
      </c>
      <c r="E54" s="375">
        <v>8884</v>
      </c>
      <c r="F54" s="382">
        <f>Percent_MAC($B$6+E54,$B$5+D54,Constants!$A$3,Constants!$B$3)</f>
        <v>0.36313176760152638</v>
      </c>
      <c r="G54" s="84">
        <v>1700</v>
      </c>
      <c r="H54" s="375">
        <v>6086</v>
      </c>
      <c r="I54" s="382">
        <f>Percent_MAC($B$6+H54,$B$5+G54,Constants!$A$3,Constants!$B$3)</f>
        <v>0.3822929666985892</v>
      </c>
      <c r="J54" s="84">
        <v>2800</v>
      </c>
      <c r="K54" s="375">
        <v>8884</v>
      </c>
      <c r="L54" s="382">
        <f>Percent_MAC($B$6+K54,$B$5+J54,Constants!$A$3,Constants!$B$3)</f>
        <v>0.36313176760152638</v>
      </c>
      <c r="M54" s="84">
        <v>1700</v>
      </c>
      <c r="N54" s="375">
        <v>6030</v>
      </c>
      <c r="O54" s="382">
        <f>Percent_MAC($B$6+N54,$B$5+M54,Constants!$A$3,Constants!$B$3)</f>
        <v>0.38086000168230089</v>
      </c>
    </row>
    <row r="55" spans="2:15">
      <c r="B55" s="13"/>
      <c r="C55" s="13"/>
      <c r="D55" s="84">
        <v>2700</v>
      </c>
      <c r="E55" s="375">
        <v>8582</v>
      </c>
      <c r="F55" s="382">
        <f>Percent_MAC($B$6+E55,$B$5+D55,Constants!$A$3,Constants!$B$3)</f>
        <v>0.36363717621167863</v>
      </c>
      <c r="G55" s="84">
        <v>1600</v>
      </c>
      <c r="H55" s="375">
        <v>5728</v>
      </c>
      <c r="I55" s="382">
        <f>Percent_MAC($B$6+H55,$B$5+G55,Constants!$A$3,Constants!$B$3)</f>
        <v>0.38144663994396699</v>
      </c>
      <c r="J55" s="84">
        <v>2700</v>
      </c>
      <c r="K55" s="375">
        <v>8582</v>
      </c>
      <c r="L55" s="382">
        <f>Percent_MAC($B$6+K55,$B$5+J55,Constants!$A$3,Constants!$B$3)</f>
        <v>0.36363717621167863</v>
      </c>
      <c r="M55" s="84">
        <v>1600</v>
      </c>
      <c r="N55" s="375">
        <v>5673</v>
      </c>
      <c r="O55" s="382">
        <f>Percent_MAC($B$6+N55,$B$5+M55,Constants!$A$3,Constants!$B$3)</f>
        <v>0.38003435453585582</v>
      </c>
    </row>
    <row r="56" spans="2:15">
      <c r="B56" s="13"/>
      <c r="C56" s="13"/>
      <c r="D56" s="84">
        <v>2600</v>
      </c>
      <c r="E56" s="375">
        <v>8281</v>
      </c>
      <c r="F56" s="382">
        <f>Percent_MAC($B$6+E56,$B$5+D56,Constants!$A$3,Constants!$B$3)</f>
        <v>0.36417080423975862</v>
      </c>
      <c r="G56" s="84">
        <v>1500</v>
      </c>
      <c r="H56" s="375">
        <v>5371</v>
      </c>
      <c r="I56" s="382">
        <f>Percent_MAC($B$6+H56,$B$5+G56,Constants!$A$3,Constants!$B$3)</f>
        <v>0.38062015619531425</v>
      </c>
      <c r="J56" s="84">
        <v>2600</v>
      </c>
      <c r="K56" s="375">
        <v>8281</v>
      </c>
      <c r="L56" s="382">
        <f>Percent_MAC($B$6+K56,$B$5+J56,Constants!$A$3,Constants!$B$3)</f>
        <v>0.36417080423975862</v>
      </c>
      <c r="M56" s="84">
        <v>1500</v>
      </c>
      <c r="N56" s="375">
        <v>5316</v>
      </c>
      <c r="O56" s="382">
        <f>Percent_MAC($B$6+N56,$B$5+M56,Constants!$A$3,Constants!$B$3)</f>
        <v>0.37920292736808409</v>
      </c>
    </row>
    <row r="57" spans="2:15">
      <c r="B57" s="13"/>
      <c r="C57" s="13"/>
      <c r="D57" s="84">
        <v>2500</v>
      </c>
      <c r="E57" s="375">
        <v>7980</v>
      </c>
      <c r="F57" s="382">
        <f>Percent_MAC($B$6+E57,$B$5+D57,Constants!$A$3,Constants!$B$3)</f>
        <v>0.36470804164271137</v>
      </c>
      <c r="G57" s="84">
        <v>1400</v>
      </c>
      <c r="H57" s="375">
        <v>5013</v>
      </c>
      <c r="I57" s="382">
        <f>Percent_MAC($B$6+H57,$B$5+G57,Constants!$A$3,Constants!$B$3)</f>
        <v>0.37976200793655635</v>
      </c>
      <c r="J57" s="84">
        <v>2500</v>
      </c>
      <c r="K57" s="375">
        <v>7980</v>
      </c>
      <c r="L57" s="382">
        <f>Percent_MAC($B$6+K57,$B$5+J57,Constants!$A$3,Constants!$B$3)</f>
        <v>0.36470804164271137</v>
      </c>
      <c r="M57" s="84">
        <v>1400</v>
      </c>
      <c r="N57" s="375">
        <v>4959</v>
      </c>
      <c r="O57" s="382">
        <f>Percent_MAC($B$6+N57,$B$5+M57,Constants!$A$3,Constants!$B$3)</f>
        <v>0.37836565927040411</v>
      </c>
    </row>
    <row r="58" spans="2:15">
      <c r="B58" s="13"/>
      <c r="C58" s="13"/>
      <c r="D58" s="84">
        <v>2400</v>
      </c>
      <c r="E58" s="375">
        <v>7678</v>
      </c>
      <c r="F58" s="382">
        <f>Percent_MAC($B$6+E58,$B$5+D58,Constants!$A$3,Constants!$B$3)</f>
        <v>0.36522394433095151</v>
      </c>
      <c r="G58" s="84">
        <v>1300</v>
      </c>
      <c r="H58" s="375">
        <v>4655</v>
      </c>
      <c r="I58" s="382">
        <f>Percent_MAC($B$6+H58,$B$5+G58,Constants!$A$3,Constants!$B$3)</f>
        <v>0.3788978097764355</v>
      </c>
      <c r="J58" s="84">
        <v>2400</v>
      </c>
      <c r="K58" s="375">
        <v>7678</v>
      </c>
      <c r="L58" s="382">
        <f>Percent_MAC($B$6+K58,$B$5+J58,Constants!$A$3,Constants!$B$3)</f>
        <v>0.36522394433095151</v>
      </c>
      <c r="M58" s="84">
        <v>1300</v>
      </c>
      <c r="N58" s="375">
        <v>4602</v>
      </c>
      <c r="O58" s="382">
        <f>Percent_MAC($B$6+N58,$B$5+M58,Constants!$A$3,Constants!$B$3)</f>
        <v>0.37752248847543041</v>
      </c>
    </row>
    <row r="59" spans="2:15">
      <c r="B59" s="13"/>
      <c r="C59" s="13"/>
      <c r="D59" s="84">
        <v>2300</v>
      </c>
      <c r="E59" s="375">
        <v>7377</v>
      </c>
      <c r="F59" s="382">
        <f>Percent_MAC($B$6+E59,$B$5+D59,Constants!$A$3,Constants!$B$3)</f>
        <v>0.36576842615794691</v>
      </c>
      <c r="G59" s="84">
        <v>1200</v>
      </c>
      <c r="H59" s="375">
        <v>4297</v>
      </c>
      <c r="I59" s="382">
        <f>Percent_MAC($B$6+H59,$B$5+G59,Constants!$A$3,Constants!$B$3)</f>
        <v>0.37802749751139353</v>
      </c>
      <c r="J59" s="84">
        <v>2300</v>
      </c>
      <c r="K59" s="375">
        <v>7377</v>
      </c>
      <c r="L59" s="382">
        <f>Percent_MAC($B$6+K59,$B$5+J59,Constants!$A$3,Constants!$B$3)</f>
        <v>0.36576842615794691</v>
      </c>
      <c r="M59" s="84">
        <v>1200</v>
      </c>
      <c r="N59" s="375">
        <v>4246</v>
      </c>
      <c r="O59" s="382">
        <f>Percent_MAC($B$6+N59,$B$5+M59,Constants!$A$3,Constants!$B$3)</f>
        <v>0.37669939359504323</v>
      </c>
    </row>
    <row r="60" spans="2:15">
      <c r="B60" s="13"/>
      <c r="C60" s="13"/>
      <c r="D60" s="84">
        <v>2200</v>
      </c>
      <c r="E60" s="375">
        <v>7076</v>
      </c>
      <c r="F60" s="382">
        <f>Percent_MAC($B$6+E60,$B$5+D60,Constants!$A$3,Constants!$B$3)</f>
        <v>0.36631662852084707</v>
      </c>
      <c r="G60" s="84">
        <v>1100</v>
      </c>
      <c r="H60" s="375">
        <v>3940</v>
      </c>
      <c r="I60" s="382">
        <f>Percent_MAC($B$6+H60,$B$5+G60,Constants!$A$3,Constants!$B$3)</f>
        <v>0.37717713972593736</v>
      </c>
      <c r="J60" s="84">
        <v>2200</v>
      </c>
      <c r="K60" s="375">
        <v>7076</v>
      </c>
      <c r="L60" s="382">
        <f>Percent_MAC($B$6+K60,$B$5+J60,Constants!$A$3,Constants!$B$3)</f>
        <v>0.36631662852084707</v>
      </c>
      <c r="M60" s="84">
        <v>1100</v>
      </c>
      <c r="N60" s="375">
        <v>3889</v>
      </c>
      <c r="O60" s="382">
        <f>Percent_MAC($B$6+N60,$B$5+M60,Constants!$A$3,Constants!$B$3)</f>
        <v>0.37584432103832655</v>
      </c>
    </row>
    <row r="61" spans="2:15">
      <c r="B61" s="13"/>
      <c r="C61" s="13"/>
      <c r="D61" s="84">
        <v>2100</v>
      </c>
      <c r="E61" s="375">
        <v>6774</v>
      </c>
      <c r="F61" s="382">
        <f>Percent_MAC($B$6+E61,$B$5+D61,Constants!$A$3,Constants!$B$3)</f>
        <v>0.36684335192609108</v>
      </c>
      <c r="G61" s="84">
        <v>952</v>
      </c>
      <c r="H61" s="375">
        <v>3410</v>
      </c>
      <c r="I61" s="382">
        <f>Percent_MAC($B$6+H61,$B$5+G61,Constants!$A$3,Constants!$B$3)</f>
        <v>0.37586438594199223</v>
      </c>
      <c r="J61" s="84">
        <v>2100</v>
      </c>
      <c r="K61" s="375">
        <v>6774</v>
      </c>
      <c r="L61" s="382">
        <f>Percent_MAC($B$6+K61,$B$5+J61,Constants!$A$3,Constants!$B$3)</f>
        <v>0.36684335192609108</v>
      </c>
      <c r="M61" s="84">
        <v>1000</v>
      </c>
      <c r="N61" s="375">
        <v>3532</v>
      </c>
      <c r="O61" s="382">
        <f>Percent_MAC($B$6+N61,$B$5+M61,Constants!$A$3,Constants!$B$3)</f>
        <v>0.37498315583451358</v>
      </c>
    </row>
    <row r="62" spans="2:15">
      <c r="B62" s="13"/>
      <c r="C62" s="13"/>
      <c r="D62" s="84">
        <v>2000</v>
      </c>
      <c r="E62" s="375">
        <v>6473</v>
      </c>
      <c r="F62" s="382">
        <f>Percent_MAC($B$6+E62,$B$5+D62,Constants!$A$3,Constants!$B$3)</f>
        <v>0.36739902386308759</v>
      </c>
      <c r="G62" s="84">
        <v>900</v>
      </c>
      <c r="H62" s="375">
        <v>3208</v>
      </c>
      <c r="I62" s="382">
        <f>Percent_MAC($B$6+H62,$B$5+G62,Constants!$A$3,Constants!$B$3)</f>
        <v>0.37498441163889984</v>
      </c>
      <c r="J62" s="84">
        <v>2000</v>
      </c>
      <c r="K62" s="375">
        <v>6473</v>
      </c>
      <c r="L62" s="382">
        <f>Percent_MAC($B$6+K62,$B$5+J62,Constants!$A$3,Constants!$B$3)</f>
        <v>0.36739902386308759</v>
      </c>
      <c r="M62" s="84">
        <v>900</v>
      </c>
      <c r="N62" s="375">
        <v>3175</v>
      </c>
      <c r="O62" s="382">
        <f>Percent_MAC($B$6+N62,$B$5+M62,Constants!$A$3,Constants!$B$3)</f>
        <v>0.37411583263289</v>
      </c>
    </row>
    <row r="63" spans="2:15">
      <c r="B63" s="13"/>
      <c r="C63" s="13"/>
      <c r="D63" s="84">
        <v>1934</v>
      </c>
      <c r="E63" s="375">
        <v>6274</v>
      </c>
      <c r="F63" s="382">
        <f>Percent_MAC($B$6+E63,$B$5+D63,Constants!$A$3,Constants!$B$3)</f>
        <v>0.36775923646378011</v>
      </c>
      <c r="G63" s="84">
        <v>800</v>
      </c>
      <c r="H63" s="375">
        <v>2818</v>
      </c>
      <c r="I63" s="382">
        <f>Percent_MAC($B$6+H63,$B$5+G63,Constants!$A$3,Constants!$B$3)</f>
        <v>0.37324228514477176</v>
      </c>
      <c r="J63" s="84">
        <v>1934</v>
      </c>
      <c r="K63" s="375">
        <v>6274</v>
      </c>
      <c r="L63" s="382">
        <f>Percent_MAC($B$6+K63,$B$5+J63,Constants!$A$3,Constants!$B$3)</f>
        <v>0.36775923646378011</v>
      </c>
      <c r="M63" s="84">
        <v>820</v>
      </c>
      <c r="N63" s="375">
        <v>2890</v>
      </c>
      <c r="O63" s="382">
        <f>Percent_MAC($B$6+N63,$B$5+M63,Constants!$A$3,Constants!$B$3)</f>
        <v>0.37343333344525276</v>
      </c>
    </row>
    <row r="64" spans="2:15">
      <c r="B64" s="13"/>
      <c r="C64" s="13"/>
      <c r="D64" s="84">
        <v>1900</v>
      </c>
      <c r="E64" s="375">
        <v>6158</v>
      </c>
      <c r="F64" s="382">
        <f>Percent_MAC($B$6+E64,$B$5+D64,Constants!$A$3,Constants!$B$3)</f>
        <v>0.36760276414034398</v>
      </c>
      <c r="G64" s="84">
        <v>700</v>
      </c>
      <c r="H64" s="375">
        <v>2429</v>
      </c>
      <c r="I64" s="382">
        <f>Percent_MAC($B$6+H64,$B$5+G64,Constants!$A$3,Constants!$B$3)</f>
        <v>0.37151412151893698</v>
      </c>
      <c r="J64" s="84">
        <v>1900</v>
      </c>
      <c r="K64" s="375">
        <v>6158</v>
      </c>
      <c r="L64" s="382">
        <f>Percent_MAC($B$6+K64,$B$5+J64,Constants!$A$3,Constants!$B$3)</f>
        <v>0.36760276414034398</v>
      </c>
      <c r="M64" s="84">
        <v>800</v>
      </c>
      <c r="N64" s="375">
        <v>2812</v>
      </c>
      <c r="O64" s="382">
        <f>Percent_MAC($B$6+N64,$B$5+M64,Constants!$A$3,Constants!$B$3)</f>
        <v>0.37308379502561639</v>
      </c>
    </row>
    <row r="65" spans="2:17">
      <c r="B65" s="13"/>
      <c r="C65" s="13"/>
      <c r="D65" s="84">
        <v>1800</v>
      </c>
      <c r="E65" s="375">
        <v>5816</v>
      </c>
      <c r="F65" s="382">
        <f>Percent_MAC($B$6+E65,$B$5+D65,Constants!$A$3,Constants!$B$3)</f>
        <v>0.3671194152550773</v>
      </c>
      <c r="G65" s="84">
        <v>600</v>
      </c>
      <c r="H65" s="375">
        <v>2039</v>
      </c>
      <c r="I65" s="382">
        <f>Percent_MAC($B$6+H65,$B$5+G65,Constants!$A$3,Constants!$B$3)</f>
        <v>0.36974686024180914</v>
      </c>
      <c r="J65" s="84">
        <v>1800</v>
      </c>
      <c r="K65" s="375">
        <v>5816</v>
      </c>
      <c r="L65" s="382">
        <f>Percent_MAC($B$6+K65,$B$5+J65,Constants!$A$3,Constants!$B$3)</f>
        <v>0.3671194152550773</v>
      </c>
      <c r="M65" s="84">
        <v>700</v>
      </c>
      <c r="N65" s="375">
        <v>2425</v>
      </c>
      <c r="O65" s="382">
        <f>Percent_MAC($B$6+N65,$B$5+M65,Constants!$A$3,Constants!$B$3)</f>
        <v>0.37140808094297728</v>
      </c>
    </row>
    <row r="66" spans="2:17">
      <c r="B66" s="13"/>
      <c r="C66" s="13"/>
      <c r="D66" s="84">
        <v>1700</v>
      </c>
      <c r="E66" s="375">
        <v>5473</v>
      </c>
      <c r="F66" s="382">
        <f>Percent_MAC($B$6+E66,$B$5+D66,Constants!$A$3,Constants!$B$3)</f>
        <v>0.36660711750243513</v>
      </c>
      <c r="G66" s="84">
        <v>485</v>
      </c>
      <c r="H66" s="375">
        <v>1591</v>
      </c>
      <c r="I66" s="382">
        <f>Percent_MAC($B$6+H66,$B$5+G66,Constants!$A$3,Constants!$B$3)</f>
        <v>0.36771201012672577</v>
      </c>
      <c r="J66" s="84">
        <v>1700</v>
      </c>
      <c r="K66" s="375">
        <v>5473</v>
      </c>
      <c r="L66" s="382">
        <f>Percent_MAC($B$6+K66,$B$5+J66,Constants!$A$3,Constants!$B$3)</f>
        <v>0.36660711750243513</v>
      </c>
      <c r="M66" s="84">
        <v>600</v>
      </c>
      <c r="N66" s="375">
        <v>2037</v>
      </c>
      <c r="O66" s="382">
        <f>Percent_MAC($B$6+N66,$B$5+M66,Constants!$A$3,Constants!$B$3)</f>
        <v>0.36969364833039542</v>
      </c>
    </row>
    <row r="67" spans="2:17">
      <c r="B67" s="13"/>
      <c r="C67" s="13"/>
      <c r="D67" s="84">
        <v>1600</v>
      </c>
      <c r="E67" s="375">
        <v>5131</v>
      </c>
      <c r="F67" s="382">
        <f>Percent_MAC($B$6+E67,$B$5+D67,Constants!$A$3,Constants!$B$3)</f>
        <v>0.3661169237868343</v>
      </c>
      <c r="G67" s="84">
        <v>400</v>
      </c>
      <c r="H67" s="375">
        <v>1314</v>
      </c>
      <c r="I67" s="382">
        <f>Percent_MAC($B$6+H67,$B$5+G67,Constants!$A$3,Constants!$B$3)</f>
        <v>0.36764771770134619</v>
      </c>
      <c r="J67" s="84">
        <v>1600</v>
      </c>
      <c r="K67" s="375">
        <v>5131</v>
      </c>
      <c r="L67" s="382">
        <f>Percent_MAC($B$6+K67,$B$5+J67,Constants!$A$3,Constants!$B$3)</f>
        <v>0.3661169237868343</v>
      </c>
      <c r="M67" s="84">
        <v>500</v>
      </c>
      <c r="N67" s="375">
        <v>1649</v>
      </c>
      <c r="O67" s="382">
        <f>Percent_MAC($B$6+N67,$B$5+M67,Constants!$A$3,Constants!$B$3)</f>
        <v>0.36796677832354752</v>
      </c>
    </row>
    <row r="68" spans="2:17">
      <c r="B68" s="13"/>
      <c r="C68" s="13"/>
      <c r="D68" s="84">
        <v>1500</v>
      </c>
      <c r="E68" s="375">
        <v>4789</v>
      </c>
      <c r="F68" s="382">
        <f>Percent_MAC($B$6+E68,$B$5+D68,Constants!$A$3,Constants!$B$3)</f>
        <v>0.36562329842353442</v>
      </c>
      <c r="G68" s="84">
        <v>300</v>
      </c>
      <c r="H68" s="375">
        <v>988</v>
      </c>
      <c r="I68" s="382">
        <f>Percent_MAC($B$6+H68,$B$5+G68,Constants!$A$3,Constants!$B$3)</f>
        <v>0.36756840385731243</v>
      </c>
      <c r="J68" s="84">
        <v>1500</v>
      </c>
      <c r="K68" s="375">
        <v>4789</v>
      </c>
      <c r="L68" s="382">
        <f>Percent_MAC($B$6+K68,$B$5+J68,Constants!$A$3,Constants!$B$3)</f>
        <v>0.36562329842353442</v>
      </c>
      <c r="M68" s="84">
        <v>485</v>
      </c>
      <c r="N68" s="375">
        <v>1591</v>
      </c>
      <c r="O68" s="382">
        <f>Percent_MAC($B$6+N68,$B$5+M68,Constants!$A$3,Constants!$B$3)</f>
        <v>0.36771201012672577</v>
      </c>
    </row>
    <row r="69" spans="2:17">
      <c r="B69" s="13"/>
      <c r="C69" s="13"/>
      <c r="D69" s="84">
        <v>1400</v>
      </c>
      <c r="E69" s="375">
        <v>4446</v>
      </c>
      <c r="F69" s="382">
        <f>Percent_MAC($B$6+E69,$B$5+D69,Constants!$A$3,Constants!$B$3)</f>
        <v>0.36510034694196131</v>
      </c>
      <c r="G69" s="84">
        <v>200</v>
      </c>
      <c r="H69" s="375">
        <v>662</v>
      </c>
      <c r="I69" s="382">
        <f>Percent_MAC($B$6+H69,$B$5+G69,Constants!$A$3,Constants!$B$3)</f>
        <v>0.3674885082989216</v>
      </c>
      <c r="J69" s="84">
        <v>1400</v>
      </c>
      <c r="K69" s="375">
        <v>4446</v>
      </c>
      <c r="L69" s="382">
        <f>Percent_MAC($B$6+K69,$B$5+J69,Constants!$A$3,Constants!$B$3)</f>
        <v>0.36510034694196131</v>
      </c>
      <c r="M69" s="84">
        <v>400</v>
      </c>
      <c r="N69" s="375">
        <v>1314</v>
      </c>
      <c r="O69" s="382">
        <f>Percent_MAC($B$6+N69,$B$5+M69,Constants!$A$3,Constants!$B$3)</f>
        <v>0.36764771770134619</v>
      </c>
    </row>
    <row r="70" spans="2:17">
      <c r="B70" s="13"/>
      <c r="C70" s="13"/>
      <c r="D70" s="84">
        <v>1392</v>
      </c>
      <c r="E70" s="375">
        <v>4419</v>
      </c>
      <c r="F70" s="382">
        <f>Percent_MAC($B$6+E70,$B$5+D70,Constants!$A$3,Constants!$B$3)</f>
        <v>0.36506973292322537</v>
      </c>
      <c r="G70" s="84">
        <v>100</v>
      </c>
      <c r="H70" s="375">
        <v>336</v>
      </c>
      <c r="I70" s="382">
        <f>Percent_MAC($B$6+H70,$B$5+G70,Constants!$A$3,Constants!$B$3)</f>
        <v>0.36740802460288585</v>
      </c>
      <c r="J70" s="84">
        <v>1392</v>
      </c>
      <c r="K70" s="375">
        <v>4419</v>
      </c>
      <c r="L70" s="382">
        <f>Percent_MAC($B$6+K70,$B$5+J70,Constants!$A$3,Constants!$B$3)</f>
        <v>0.36506973292322537</v>
      </c>
      <c r="M70" s="84">
        <v>300</v>
      </c>
      <c r="N70" s="375">
        <v>988</v>
      </c>
      <c r="O70" s="382">
        <f>Percent_MAC($B$6+N70,$B$5+M70,Constants!$A$3,Constants!$B$3)</f>
        <v>0.36756840385731243</v>
      </c>
      <c r="P70" s="13"/>
      <c r="Q70" s="13"/>
    </row>
    <row r="71" spans="2:17">
      <c r="B71" s="13"/>
      <c r="C71" s="13"/>
      <c r="D71" s="84">
        <v>1300</v>
      </c>
      <c r="E71" s="375">
        <v>4132</v>
      </c>
      <c r="F71" s="382">
        <f>Percent_MAC($B$6+E71,$B$5+D71,Constants!$A$3,Constants!$B$3)</f>
        <v>0.36532624297594879</v>
      </c>
      <c r="G71" s="84">
        <v>23</v>
      </c>
      <c r="H71" s="375">
        <v>85</v>
      </c>
      <c r="I71" s="382">
        <f>Percent_MAC($B$6+H71,$B$5+G71,Constants!$A$3,Constants!$B$3)</f>
        <v>0.36734619072481184</v>
      </c>
      <c r="J71" s="84">
        <v>1300</v>
      </c>
      <c r="K71" s="375">
        <v>4132</v>
      </c>
      <c r="L71" s="382">
        <f>Percent_MAC($B$6+K71,$B$5+J71,Constants!$A$3,Constants!$B$3)</f>
        <v>0.36532624297594879</v>
      </c>
      <c r="M71" s="84">
        <v>200</v>
      </c>
      <c r="N71" s="375">
        <v>662</v>
      </c>
      <c r="O71" s="382">
        <f>Percent_MAC($B$6+N71,$B$5+M71,Constants!$A$3,Constants!$B$3)</f>
        <v>0.3674885082989216</v>
      </c>
      <c r="P71" s="13"/>
      <c r="Q71" s="13"/>
    </row>
    <row r="72" spans="2:17">
      <c r="B72" s="13"/>
      <c r="C72" s="13"/>
      <c r="D72" s="84">
        <v>1200</v>
      </c>
      <c r="E72" s="375">
        <v>3821</v>
      </c>
      <c r="F72" s="382">
        <f>Percent_MAC($B$6+E72,$B$5+D72,Constants!$A$3,Constants!$B$3)</f>
        <v>0.36563186095879041</v>
      </c>
      <c r="G72" s="84">
        <v>0</v>
      </c>
      <c r="H72" s="375">
        <v>0</v>
      </c>
      <c r="I72" s="382">
        <f>Percent_MAC($B$6+H72,$B$5+G72,Constants!$A$3,Constants!$B$3)</f>
        <v>0.36705498933036834</v>
      </c>
      <c r="J72" s="84">
        <v>1200</v>
      </c>
      <c r="K72" s="375">
        <v>3821</v>
      </c>
      <c r="L72" s="382">
        <f>Percent_MAC($B$6+K72,$B$5+J72,Constants!$A$3,Constants!$B$3)</f>
        <v>0.36563186095879041</v>
      </c>
      <c r="M72" s="84">
        <v>100</v>
      </c>
      <c r="N72" s="375">
        <v>336</v>
      </c>
      <c r="O72" s="382">
        <f>Percent_MAC($B$6+N72,$B$5+M72,Constants!$A$3,Constants!$B$3)</f>
        <v>0.36740802460288585</v>
      </c>
      <c r="P72" s="13"/>
      <c r="Q72" s="13"/>
    </row>
    <row r="73" spans="2:17">
      <c r="B73" s="13"/>
      <c r="C73" s="13"/>
      <c r="D73" s="84">
        <v>1100</v>
      </c>
      <c r="E73" s="375">
        <v>3509</v>
      </c>
      <c r="F73" s="382">
        <f>Percent_MAC($B$6+E73,$B$5+D73,Constants!$A$3,Constants!$B$3)</f>
        <v>0.36591351513063841</v>
      </c>
      <c r="G73" s="84"/>
      <c r="H73" s="375"/>
      <c r="I73" s="381"/>
      <c r="J73" s="84">
        <v>1100</v>
      </c>
      <c r="K73" s="375">
        <v>3509</v>
      </c>
      <c r="L73" s="382">
        <f>Percent_MAC($B$6+K73,$B$5+J73,Constants!$A$3,Constants!$B$3)</f>
        <v>0.36591351513063841</v>
      </c>
      <c r="M73" s="84">
        <v>23</v>
      </c>
      <c r="N73" s="375">
        <v>85</v>
      </c>
      <c r="O73" s="382">
        <f>Percent_MAC($B$6+N73,$B$5+M73,Constants!$A$3,Constants!$B$3)</f>
        <v>0.36734619072481184</v>
      </c>
      <c r="P73" s="13"/>
      <c r="Q73" s="13"/>
    </row>
    <row r="74" spans="2:17">
      <c r="B74" s="13"/>
      <c r="C74" s="13"/>
      <c r="D74" s="84">
        <v>1000</v>
      </c>
      <c r="E74" s="375">
        <v>3198</v>
      </c>
      <c r="F74" s="382">
        <f>Percent_MAC($B$6+E74,$B$5+D74,Constants!$A$3,Constants!$B$3)</f>
        <v>0.36622340297745998</v>
      </c>
      <c r="G74" s="84"/>
      <c r="H74" s="375"/>
      <c r="I74" s="381"/>
      <c r="J74" s="84">
        <v>1000</v>
      </c>
      <c r="K74" s="375">
        <v>3198</v>
      </c>
      <c r="L74" s="382">
        <f>Percent_MAC($B$6+K74,$B$5+J74,Constants!$A$3,Constants!$B$3)</f>
        <v>0.36622340297745998</v>
      </c>
      <c r="M74" s="339">
        <v>0</v>
      </c>
      <c r="N74" s="378">
        <v>0</v>
      </c>
      <c r="O74" s="382">
        <f>Percent_MAC($B$6+N74,$B$5+M74,Constants!$A$3,Constants!$B$3)</f>
        <v>0.36705498933036834</v>
      </c>
      <c r="P74" s="13"/>
      <c r="Q74" s="13"/>
    </row>
    <row r="75" spans="2:17">
      <c r="B75" s="13"/>
      <c r="C75" s="13"/>
      <c r="D75" s="84">
        <v>900</v>
      </c>
      <c r="E75" s="375">
        <v>2886</v>
      </c>
      <c r="F75" s="382">
        <f>Percent_MAC($B$6+E75,$B$5+D75,Constants!$A$3,Constants!$B$3)</f>
        <v>0.36650918618632172</v>
      </c>
      <c r="G75" s="84"/>
      <c r="H75" s="375"/>
      <c r="I75" s="381"/>
      <c r="J75" s="84">
        <v>900</v>
      </c>
      <c r="K75" s="375">
        <v>2886</v>
      </c>
      <c r="L75" s="382">
        <f>Percent_MAC($B$6+K75,$B$5+J75,Constants!$A$3,Constants!$B$3)</f>
        <v>0.36650918618632172</v>
      </c>
      <c r="M75" s="339"/>
      <c r="N75" s="375"/>
      <c r="O75" s="381"/>
      <c r="P75" s="13"/>
      <c r="Q75" s="13"/>
    </row>
    <row r="76" spans="2:17">
      <c r="B76" s="13"/>
      <c r="C76" s="13"/>
      <c r="D76" s="84">
        <v>800</v>
      </c>
      <c r="E76" s="375">
        <v>2575</v>
      </c>
      <c r="F76" s="382">
        <f>Percent_MAC($B$6+E76,$B$5+D76,Constants!$A$3,Constants!$B$3)</f>
        <v>0.36682343531897799</v>
      </c>
      <c r="G76" s="84"/>
      <c r="H76" s="375"/>
      <c r="I76" s="381"/>
      <c r="J76" s="84">
        <v>800</v>
      </c>
      <c r="K76" s="375">
        <v>2575</v>
      </c>
      <c r="L76" s="382">
        <f>Percent_MAC($B$6+K76,$B$5+J76,Constants!$A$3,Constants!$B$3)</f>
        <v>0.36682343531897799</v>
      </c>
      <c r="M76" s="339"/>
      <c r="N76" s="375"/>
      <c r="O76" s="381"/>
      <c r="P76" s="13"/>
      <c r="Q76" s="13"/>
    </row>
    <row r="77" spans="2:17">
      <c r="B77" s="13"/>
      <c r="C77" s="13"/>
      <c r="D77" s="84">
        <v>700</v>
      </c>
      <c r="E77" s="375">
        <v>2263</v>
      </c>
      <c r="F77" s="382">
        <f>Percent_MAC($B$6+E77,$B$5+D77,Constants!$A$3,Constants!$B$3)</f>
        <v>0.36711343761660481</v>
      </c>
      <c r="G77" s="84"/>
      <c r="H77" s="375"/>
      <c r="I77" s="381"/>
      <c r="J77" s="84">
        <v>700</v>
      </c>
      <c r="K77" s="375">
        <v>2263</v>
      </c>
      <c r="L77" s="382">
        <f>Percent_MAC($B$6+K77,$B$5+J77,Constants!$A$3,Constants!$B$3)</f>
        <v>0.36711343761660481</v>
      </c>
      <c r="M77" s="339"/>
      <c r="N77" s="375"/>
      <c r="O77" s="381"/>
      <c r="P77" s="13"/>
      <c r="Q77" s="13"/>
    </row>
    <row r="78" spans="2:17">
      <c r="B78" s="13"/>
      <c r="C78" s="13"/>
      <c r="D78" s="84">
        <v>600</v>
      </c>
      <c r="E78" s="375">
        <v>1952</v>
      </c>
      <c r="F78" s="382">
        <f>Percent_MAC($B$6+E78,$B$5+D78,Constants!$A$3,Constants!$B$3)</f>
        <v>0.36743214209530023</v>
      </c>
      <c r="G78" s="84"/>
      <c r="H78" s="375"/>
      <c r="I78" s="381"/>
      <c r="J78" s="84">
        <v>600</v>
      </c>
      <c r="K78" s="375">
        <v>1952</v>
      </c>
      <c r="L78" s="382">
        <f>Percent_MAC($B$6+K78,$B$5+J78,Constants!$A$3,Constants!$B$3)</f>
        <v>0.36743214209530023</v>
      </c>
      <c r="M78" s="339"/>
      <c r="N78" s="375"/>
      <c r="O78" s="381"/>
      <c r="P78" s="13"/>
      <c r="Q78" s="13"/>
    </row>
    <row r="79" spans="2:17">
      <c r="B79" s="13"/>
      <c r="C79" s="13"/>
      <c r="D79" s="84">
        <v>503</v>
      </c>
      <c r="E79" s="375">
        <v>1650</v>
      </c>
      <c r="F79" s="382">
        <f>Percent_MAC($B$6+E79,$B$5+D79,Constants!$A$3,Constants!$B$3)</f>
        <v>0.36773468339323423</v>
      </c>
      <c r="G79" s="84"/>
      <c r="H79" s="375"/>
      <c r="I79" s="381"/>
      <c r="J79" s="84">
        <v>503</v>
      </c>
      <c r="K79" s="375">
        <v>1650</v>
      </c>
      <c r="L79" s="382">
        <f>Percent_MAC($B$6+K79,$B$5+J79,Constants!$A$3,Constants!$B$3)</f>
        <v>0.36773468339323423</v>
      </c>
      <c r="M79" s="339"/>
      <c r="N79" s="375"/>
      <c r="O79" s="381"/>
      <c r="P79" s="13"/>
      <c r="Q79" s="13"/>
    </row>
    <row r="80" spans="2:17">
      <c r="B80" s="13"/>
      <c r="C80" s="13"/>
      <c r="D80" s="84">
        <v>467</v>
      </c>
      <c r="E80" s="375">
        <v>1533</v>
      </c>
      <c r="F80" s="382">
        <f>Percent_MAC($B$6+E80,$B$5+D80,Constants!$A$3,Constants!$B$3)</f>
        <v>0.36771604168121014</v>
      </c>
      <c r="G80" s="84"/>
      <c r="H80" s="375"/>
      <c r="I80" s="381"/>
      <c r="J80" s="84">
        <v>467</v>
      </c>
      <c r="K80" s="375">
        <v>1533</v>
      </c>
      <c r="L80" s="382">
        <f>Percent_MAC($B$6+K80,$B$5+J80,Constants!$A$3,Constants!$B$3)</f>
        <v>0.36771604168121014</v>
      </c>
      <c r="M80" s="339"/>
      <c r="N80" s="375"/>
      <c r="O80" s="381"/>
      <c r="P80" s="13"/>
      <c r="Q80" s="13"/>
    </row>
    <row r="81" spans="2:17">
      <c r="B81" s="13"/>
      <c r="C81" s="13"/>
      <c r="D81" s="84">
        <v>400</v>
      </c>
      <c r="E81" s="375">
        <v>1314</v>
      </c>
      <c r="F81" s="382">
        <f>Percent_MAC($B$6+E81,$B$5+D81,Constants!$A$3,Constants!$B$3)</f>
        <v>0.36764771770134619</v>
      </c>
      <c r="G81" s="84"/>
      <c r="H81" s="375"/>
      <c r="I81" s="381"/>
      <c r="J81" s="84">
        <v>400</v>
      </c>
      <c r="K81" s="375">
        <v>1314</v>
      </c>
      <c r="L81" s="382">
        <f>Percent_MAC($B$6+K81,$B$5+J81,Constants!$A$3,Constants!$B$3)</f>
        <v>0.36764771770134619</v>
      </c>
      <c r="M81" s="339"/>
      <c r="N81" s="375"/>
      <c r="O81" s="381"/>
      <c r="P81" s="13"/>
      <c r="Q81" s="13"/>
    </row>
    <row r="82" spans="2:17">
      <c r="B82" s="13"/>
      <c r="C82" s="13"/>
      <c r="D82" s="84">
        <v>300</v>
      </c>
      <c r="E82" s="375">
        <v>988</v>
      </c>
      <c r="F82" s="382">
        <f>Percent_MAC($B$6+E82,$B$5+D82,Constants!$A$3,Constants!$B$3)</f>
        <v>0.36756840385731243</v>
      </c>
      <c r="G82" s="84"/>
      <c r="H82" s="375"/>
      <c r="I82" s="381"/>
      <c r="J82" s="84">
        <v>300</v>
      </c>
      <c r="K82" s="375">
        <v>988</v>
      </c>
      <c r="L82" s="382">
        <f>Percent_MAC($B$6+K82,$B$5+J82,Constants!$A$3,Constants!$B$3)</f>
        <v>0.36756840385731243</v>
      </c>
      <c r="M82" s="84"/>
      <c r="N82" s="375"/>
      <c r="O82" s="381"/>
      <c r="P82" s="13"/>
      <c r="Q82" s="13"/>
    </row>
    <row r="83" spans="2:17">
      <c r="B83" s="13"/>
      <c r="C83" s="13"/>
      <c r="D83" s="84">
        <v>200</v>
      </c>
      <c r="E83" s="375">
        <v>662</v>
      </c>
      <c r="F83" s="382">
        <f>Percent_MAC($B$6+E83,$B$5+D83,Constants!$A$3,Constants!$B$3)</f>
        <v>0.3674885082989216</v>
      </c>
      <c r="G83" s="84"/>
      <c r="H83" s="375"/>
      <c r="I83" s="381"/>
      <c r="J83" s="84">
        <v>200</v>
      </c>
      <c r="K83" s="375">
        <v>662</v>
      </c>
      <c r="L83" s="382">
        <f>Percent_MAC($B$6+K83,$B$5+J83,Constants!$A$3,Constants!$B$3)</f>
        <v>0.3674885082989216</v>
      </c>
      <c r="M83" s="84"/>
      <c r="N83" s="375"/>
      <c r="O83" s="381"/>
      <c r="P83" s="13"/>
      <c r="Q83" s="13"/>
    </row>
    <row r="84" spans="2:17">
      <c r="B84" s="13"/>
      <c r="C84" s="13"/>
      <c r="D84" s="84">
        <v>100</v>
      </c>
      <c r="E84" s="375">
        <v>336</v>
      </c>
      <c r="F84" s="382">
        <f>Percent_MAC($B$6+E84,$B$5+D84,Constants!$A$3,Constants!$B$3)</f>
        <v>0.36740802460288585</v>
      </c>
      <c r="G84" s="84"/>
      <c r="H84" s="375"/>
      <c r="I84" s="381"/>
      <c r="J84" s="84">
        <v>100</v>
      </c>
      <c r="K84" s="375">
        <v>336</v>
      </c>
      <c r="L84" s="382">
        <f>Percent_MAC($B$6+K84,$B$5+J84,Constants!$A$3,Constants!$B$3)</f>
        <v>0.36740802460288585</v>
      </c>
      <c r="M84" s="84"/>
      <c r="N84" s="375"/>
      <c r="O84" s="381"/>
      <c r="P84" s="13"/>
      <c r="Q84" s="13"/>
    </row>
    <row r="85" spans="2:17">
      <c r="B85" s="13"/>
      <c r="C85" s="13"/>
      <c r="D85" s="84">
        <v>23</v>
      </c>
      <c r="E85" s="375">
        <v>85</v>
      </c>
      <c r="F85" s="382">
        <f>Percent_MAC($B$6+E85,$B$5+D85,Constants!$A$3,Constants!$B$3)</f>
        <v>0.36734619072481184</v>
      </c>
      <c r="G85" s="84"/>
      <c r="H85" s="375"/>
      <c r="I85" s="381"/>
      <c r="J85" s="84">
        <v>23</v>
      </c>
      <c r="K85" s="375">
        <v>81</v>
      </c>
      <c r="L85" s="382">
        <f>Percent_MAC($B$6+K85,$B$5+J85,Constants!$A$3,Constants!$B$3)</f>
        <v>0.36723750030868091</v>
      </c>
      <c r="M85" s="84"/>
      <c r="N85" s="375"/>
      <c r="O85" s="381"/>
      <c r="P85" s="13"/>
      <c r="Q85" s="13"/>
    </row>
    <row r="86" spans="2:17" ht="15.75" thickBot="1">
      <c r="B86" s="13"/>
      <c r="C86" s="13"/>
      <c r="D86" s="383">
        <v>0</v>
      </c>
      <c r="E86" s="384">
        <v>0</v>
      </c>
      <c r="F86" s="385">
        <f>Percent_MAC($B$6+E86,$B$5+D86,Constants!$A$3,Constants!$B$3)</f>
        <v>0.36705498933036834</v>
      </c>
      <c r="G86" s="386"/>
      <c r="H86" s="387"/>
      <c r="I86" s="388"/>
      <c r="J86" s="386">
        <v>0</v>
      </c>
      <c r="K86" s="387">
        <v>0</v>
      </c>
      <c r="L86" s="385">
        <f>Percent_MAC($B$6+K86,$B$5+J86,Constants!$A$3,Constants!$B$3)</f>
        <v>0.36705498933036834</v>
      </c>
      <c r="M86" s="386"/>
      <c r="N86" s="387"/>
      <c r="O86" s="388"/>
      <c r="P86" s="13"/>
      <c r="Q86" s="13"/>
    </row>
    <row r="87" spans="2:17">
      <c r="B87" s="13"/>
      <c r="C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2:17">
      <c r="B88" s="13"/>
      <c r="C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2:17">
      <c r="B89" s="13"/>
      <c r="C89" s="13"/>
      <c r="D89" s="13"/>
      <c r="E89" s="13"/>
      <c r="F89" s="12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</sheetData>
  <mergeCells count="12">
    <mergeCell ref="A36:B36"/>
    <mergeCell ref="A8:B8"/>
    <mergeCell ref="A12:B12"/>
    <mergeCell ref="A16:B16"/>
    <mergeCell ref="A20:B20"/>
    <mergeCell ref="A24:B24"/>
    <mergeCell ref="A28:B28"/>
    <mergeCell ref="D3:F3"/>
    <mergeCell ref="J3:L3"/>
    <mergeCell ref="G3:I3"/>
    <mergeCell ref="M3:O3"/>
    <mergeCell ref="A32:B3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Configurator</vt:lpstr>
      <vt:lpstr>Form F</vt:lpstr>
      <vt:lpstr>Stores</vt:lpstr>
      <vt:lpstr>Tail Number</vt:lpstr>
      <vt:lpstr>Fuels</vt:lpstr>
      <vt:lpstr>Aircraft</vt:lpstr>
      <vt:lpstr>Constants</vt:lpstr>
      <vt:lpstr>Calculations</vt:lpstr>
      <vt:lpstr>Fuel CG</vt:lpstr>
      <vt:lpstr>NW Limits</vt:lpstr>
      <vt:lpstr>Int Fuel</vt:lpstr>
      <vt:lpstr>Configurator!Print_Area</vt:lpstr>
      <vt:lpstr>'Form F'!Print_Area</vt:lpstr>
    </vt:vector>
  </TitlesOfParts>
  <Company>U.S. Air Force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Andrew</dc:creator>
  <cp:lastModifiedBy>Josef Peterson</cp:lastModifiedBy>
  <cp:lastPrinted>2012-01-30T23:04:24Z</cp:lastPrinted>
  <dcterms:created xsi:type="dcterms:W3CDTF">2011-09-19T21:03:09Z</dcterms:created>
  <dcterms:modified xsi:type="dcterms:W3CDTF">2012-02-07T23:10:16Z</dcterms:modified>
</cp:coreProperties>
</file>